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72DD9E0-24AE-444B-9D76-10ACF65219B1}" xr6:coauthVersionLast="36" xr6:coauthVersionMax="36" xr10:uidLastSave="{00000000-0000-0000-0000-000000000000}"/>
  <bookViews>
    <workbookView xWindow="0" yWindow="0" windowWidth="11808" windowHeight="5736" xr2:uid="{550CE45A-FEF0-4AFA-92BF-8507335ADE0A}"/>
  </bookViews>
  <sheets>
    <sheet name="Income Statement" sheetId="1" r:id="rId1"/>
    <sheet name="Balance sheet" sheetId="3" r:id="rId2"/>
    <sheet name="Cash Flow Statement" sheetId="16" r:id="rId3"/>
    <sheet name="Revenue Assumptions" sheetId="15" r:id="rId4"/>
    <sheet name="Cost Assumptions" sheetId="11" r:id="rId5"/>
    <sheet name="Working Capital" sheetId="14" r:id="rId6"/>
    <sheet name="Debt" sheetId="13" r:id="rId7"/>
    <sheet name="Depreciation &amp; Amortisation" sheetId="10" r:id="rId8"/>
    <sheet name="DCF" sheetId="6" r:id="rId9"/>
    <sheet name="Relative Valuation" sheetId="7" r:id="rId10"/>
    <sheet name="Summary" sheetId="17" r:id="rId11"/>
    <sheet name="WACC" sheetId="4" r:id="rId12"/>
    <sheet name="Index Price" sheetId="8" r:id="rId13"/>
  </sheets>
  <definedNames>
    <definedName name="_xlnm._FilterDatabase" localSheetId="8" hidden="1">DCF!$J$38:$O$43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6" l="1"/>
  <c r="E7" i="6"/>
  <c r="H12" i="11" l="1"/>
  <c r="J51" i="6" l="1"/>
  <c r="L68" i="3" l="1"/>
  <c r="K68" i="3"/>
  <c r="J68" i="3"/>
  <c r="I68" i="3"/>
  <c r="L65" i="3"/>
  <c r="K65" i="3"/>
  <c r="J65" i="3"/>
  <c r="I65" i="3"/>
  <c r="L67" i="3"/>
  <c r="K67" i="3"/>
  <c r="J67" i="3"/>
  <c r="L66" i="3"/>
  <c r="K66" i="3"/>
  <c r="J66" i="3"/>
  <c r="I67" i="3"/>
  <c r="I66" i="3"/>
  <c r="L58" i="3"/>
  <c r="K58" i="3"/>
  <c r="J58" i="3"/>
  <c r="I58" i="3"/>
  <c r="H58" i="3"/>
  <c r="H57" i="3"/>
  <c r="I57" i="3"/>
  <c r="J57" i="3"/>
  <c r="K57" i="3"/>
  <c r="L57" i="3"/>
  <c r="L60" i="3"/>
  <c r="K60" i="3"/>
  <c r="J60" i="3"/>
  <c r="I60" i="3"/>
  <c r="L59" i="3"/>
  <c r="K59" i="3"/>
  <c r="J59" i="3"/>
  <c r="I59" i="3"/>
  <c r="L62" i="3"/>
  <c r="K62" i="3"/>
  <c r="J62" i="3"/>
  <c r="L61" i="3"/>
  <c r="K61" i="3"/>
  <c r="J61" i="3"/>
  <c r="I62" i="3"/>
  <c r="I61" i="3"/>
  <c r="L63" i="3"/>
  <c r="K63" i="3"/>
  <c r="J63" i="3"/>
  <c r="I63" i="3"/>
  <c r="H60" i="3"/>
  <c r="H59" i="3"/>
  <c r="H42" i="1"/>
  <c r="I42" i="1"/>
  <c r="J42" i="1"/>
  <c r="K42" i="1"/>
  <c r="L42" i="1"/>
  <c r="H41" i="1"/>
  <c r="I41" i="1"/>
  <c r="J41" i="1"/>
  <c r="K41" i="1"/>
  <c r="L41" i="1"/>
  <c r="H40" i="1"/>
  <c r="I40" i="1"/>
  <c r="J40" i="1"/>
  <c r="K40" i="1"/>
  <c r="L40" i="1"/>
  <c r="H39" i="1"/>
  <c r="I39" i="1"/>
  <c r="J39" i="1"/>
  <c r="K39" i="1"/>
  <c r="L39" i="1"/>
  <c r="E10" i="6" l="1"/>
  <c r="F6" i="17" l="1"/>
  <c r="G6" i="17"/>
  <c r="H6" i="17"/>
  <c r="H13" i="6" l="1"/>
  <c r="H4" i="8" l="1"/>
  <c r="E31" i="6"/>
  <c r="L15" i="6"/>
  <c r="M15" i="6" s="1"/>
  <c r="K15" i="6"/>
  <c r="J15" i="6"/>
  <c r="I15" i="6"/>
  <c r="H15" i="6"/>
  <c r="I14" i="6"/>
  <c r="J14" i="6" s="1"/>
  <c r="K14" i="6" s="1"/>
  <c r="L14" i="6" s="1"/>
  <c r="I12" i="6"/>
  <c r="J12" i="6" s="1"/>
  <c r="K12" i="6" s="1"/>
  <c r="L12" i="6" s="1"/>
  <c r="G13" i="6"/>
  <c r="E6" i="6"/>
  <c r="H5" i="8" l="1"/>
  <c r="E28" i="4"/>
  <c r="W6" i="13"/>
  <c r="L49" i="16" l="1"/>
  <c r="M47" i="16" s="1"/>
  <c r="Q22" i="16"/>
  <c r="P22" i="16"/>
  <c r="O22" i="16"/>
  <c r="N22" i="16"/>
  <c r="M22" i="16"/>
  <c r="M44" i="3" l="1"/>
  <c r="N44" i="3" s="1"/>
  <c r="O44" i="3" s="1"/>
  <c r="P44" i="3" s="1"/>
  <c r="Q44" i="3" s="1"/>
  <c r="O12" i="13"/>
  <c r="O39" i="16" s="1"/>
  <c r="N12" i="13"/>
  <c r="N39" i="16" s="1"/>
  <c r="M11" i="13"/>
  <c r="N11" i="13" s="1"/>
  <c r="L13" i="13"/>
  <c r="L14" i="13"/>
  <c r="N12" i="11"/>
  <c r="O12" i="11" s="1"/>
  <c r="P12" i="11" s="1"/>
  <c r="Q12" i="11" s="1"/>
  <c r="S2" i="13"/>
  <c r="T2" i="13" s="1"/>
  <c r="U2" i="13" s="1"/>
  <c r="V2" i="13" s="1"/>
  <c r="Y5" i="13"/>
  <c r="Y4" i="13"/>
  <c r="Y3" i="13"/>
  <c r="R6" i="13"/>
  <c r="M5" i="13" s="1"/>
  <c r="M12" i="13" s="1"/>
  <c r="S6" i="13"/>
  <c r="N5" i="13" s="1"/>
  <c r="T6" i="13"/>
  <c r="O5" i="13" s="1"/>
  <c r="U6" i="13"/>
  <c r="P5" i="13" s="1"/>
  <c r="P12" i="13" s="1"/>
  <c r="P39" i="16" s="1"/>
  <c r="V6" i="13"/>
  <c r="Q5" i="13" s="1"/>
  <c r="Q12" i="13" s="1"/>
  <c r="Q39" i="16" s="1"/>
  <c r="M39" i="16" l="1"/>
  <c r="M13" i="13"/>
  <c r="M31" i="3" s="1"/>
  <c r="O11" i="13"/>
  <c r="N13" i="13"/>
  <c r="N31" i="3" s="1"/>
  <c r="L15" i="13"/>
  <c r="E30" i="6" s="1"/>
  <c r="L8" i="13"/>
  <c r="K8" i="13"/>
  <c r="J8" i="13"/>
  <c r="I8" i="13"/>
  <c r="H8" i="13"/>
  <c r="J6" i="13"/>
  <c r="K3" i="13" s="1"/>
  <c r="I6" i="13"/>
  <c r="J3" i="13" s="1"/>
  <c r="H6" i="13"/>
  <c r="I3" i="13" s="1"/>
  <c r="I9" i="13" s="1"/>
  <c r="L6" i="13"/>
  <c r="K6" i="13"/>
  <c r="L3" i="13" s="1"/>
  <c r="E34" i="4"/>
  <c r="E35" i="4" s="1"/>
  <c r="E29" i="4"/>
  <c r="E30" i="4" s="1"/>
  <c r="E24" i="4"/>
  <c r="E23" i="4"/>
  <c r="J13" i="4"/>
  <c r="K13" i="4"/>
  <c r="K12" i="4"/>
  <c r="J12" i="4"/>
  <c r="G10" i="4"/>
  <c r="H10" i="4" s="1"/>
  <c r="G9" i="4"/>
  <c r="G8" i="4"/>
  <c r="H8" i="4" s="1"/>
  <c r="G7" i="4"/>
  <c r="G6" i="4"/>
  <c r="G5" i="4"/>
  <c r="G4" i="4"/>
  <c r="H4" i="4" s="1"/>
  <c r="F5" i="4"/>
  <c r="F6" i="4"/>
  <c r="F7" i="4"/>
  <c r="F8" i="4"/>
  <c r="F9" i="4"/>
  <c r="F10" i="4"/>
  <c r="F4" i="4"/>
  <c r="L9" i="13" l="1"/>
  <c r="J9" i="13"/>
  <c r="K9" i="13"/>
  <c r="P11" i="13"/>
  <c r="O13" i="13"/>
  <c r="O31" i="3" s="1"/>
  <c r="E25" i="4"/>
  <c r="H9" i="4"/>
  <c r="H5" i="4"/>
  <c r="H13" i="4" s="1"/>
  <c r="H6" i="4"/>
  <c r="L6" i="4" s="1"/>
  <c r="H7" i="4"/>
  <c r="L7" i="4" s="1"/>
  <c r="M3" i="13"/>
  <c r="N9" i="13"/>
  <c r="O9" i="13" s="1"/>
  <c r="P9" i="13" s="1"/>
  <c r="Q9" i="13" s="1"/>
  <c r="I9" i="4"/>
  <c r="L10" i="4"/>
  <c r="I6" i="4"/>
  <c r="L9" i="4"/>
  <c r="I4" i="4"/>
  <c r="I8" i="4"/>
  <c r="I7" i="4"/>
  <c r="I5" i="4"/>
  <c r="I10" i="4"/>
  <c r="L8" i="4"/>
  <c r="L5" i="4" l="1"/>
  <c r="Q11" i="13"/>
  <c r="Q13" i="13" s="1"/>
  <c r="Q31" i="3" s="1"/>
  <c r="P13" i="13"/>
  <c r="P31" i="3" s="1"/>
  <c r="H12" i="4"/>
  <c r="M8" i="13"/>
  <c r="I13" i="4"/>
  <c r="L4" i="4"/>
  <c r="L13" i="4" s="1"/>
  <c r="E36" i="4" s="1"/>
  <c r="E37" i="4" s="1"/>
  <c r="I12" i="4"/>
  <c r="E19" i="4" s="1"/>
  <c r="L12" i="4" l="1"/>
  <c r="E20" i="4"/>
  <c r="E39" i="4" s="1"/>
  <c r="M14" i="1"/>
  <c r="I20" i="7"/>
  <c r="G20" i="7"/>
  <c r="I18" i="7"/>
  <c r="I19" i="7" s="1"/>
  <c r="G18" i="7"/>
  <c r="G19" i="7" s="1"/>
  <c r="M16" i="16" l="1"/>
  <c r="M44" i="16"/>
  <c r="Q13" i="14" l="1"/>
  <c r="P13" i="14"/>
  <c r="O13" i="14"/>
  <c r="N13" i="14"/>
  <c r="M13" i="14"/>
  <c r="L9" i="10" l="1"/>
  <c r="K9" i="10"/>
  <c r="J9" i="10"/>
  <c r="I9" i="10"/>
  <c r="H9" i="10"/>
  <c r="L11" i="10"/>
  <c r="M7" i="10" s="1"/>
  <c r="K11" i="10"/>
  <c r="J11" i="10"/>
  <c r="I11" i="10"/>
  <c r="H11" i="10"/>
  <c r="O5" i="10"/>
  <c r="P5" i="10" s="1"/>
  <c r="Q5" i="10" s="1"/>
  <c r="H4" i="10"/>
  <c r="I4" i="10"/>
  <c r="J4" i="10"/>
  <c r="K4" i="10"/>
  <c r="L4" i="10"/>
  <c r="H3" i="10"/>
  <c r="I3" i="10"/>
  <c r="J3" i="10"/>
  <c r="K3" i="10"/>
  <c r="L3" i="10"/>
  <c r="I13" i="10" l="1"/>
  <c r="H13" i="10"/>
  <c r="L5" i="10"/>
  <c r="J13" i="10"/>
  <c r="K13" i="10"/>
  <c r="L13" i="10"/>
  <c r="M13" i="10" s="1"/>
  <c r="K5" i="10"/>
  <c r="N13" i="10"/>
  <c r="J5" i="10"/>
  <c r="I5" i="10"/>
  <c r="H5" i="10"/>
  <c r="O13" i="10" l="1"/>
  <c r="P13" i="10" l="1"/>
  <c r="Q13" i="10" l="1"/>
  <c r="M15" i="1" l="1"/>
  <c r="N15" i="1" s="1"/>
  <c r="O15" i="1" s="1"/>
  <c r="P15" i="1" s="1"/>
  <c r="Q15" i="1" s="1"/>
  <c r="M27" i="1"/>
  <c r="N27" i="1"/>
  <c r="O27" i="1" s="1"/>
  <c r="P27" i="1" s="1"/>
  <c r="Q27" i="1" s="1"/>
  <c r="M25" i="1"/>
  <c r="N25" i="1" s="1"/>
  <c r="O25" i="1" s="1"/>
  <c r="P25" i="1" s="1"/>
  <c r="Q25" i="1" s="1"/>
  <c r="M23" i="1"/>
  <c r="N23" i="1" s="1"/>
  <c r="O23" i="1" s="1"/>
  <c r="P23" i="1" s="1"/>
  <c r="Q23" i="1" s="1"/>
  <c r="M33" i="1"/>
  <c r="N33" i="1" s="1"/>
  <c r="O33" i="1" s="1"/>
  <c r="P33" i="1" s="1"/>
  <c r="Q33" i="1" s="1"/>
  <c r="H35" i="1"/>
  <c r="I35" i="1"/>
  <c r="L34" i="1"/>
  <c r="K34" i="1"/>
  <c r="J34" i="1"/>
  <c r="I34" i="1"/>
  <c r="H34" i="1"/>
  <c r="L32" i="1"/>
  <c r="L35" i="1" s="1"/>
  <c r="K32" i="1"/>
  <c r="J32" i="1"/>
  <c r="I32" i="1"/>
  <c r="H32" i="1"/>
  <c r="J35" i="1" l="1"/>
  <c r="K35" i="1"/>
  <c r="M16" i="3"/>
  <c r="N16" i="3" s="1"/>
  <c r="O16" i="3" s="1"/>
  <c r="P16" i="3" s="1"/>
  <c r="Q16" i="3" s="1"/>
  <c r="M25" i="3"/>
  <c r="N25" i="3"/>
  <c r="O25" i="3"/>
  <c r="P25" i="3" s="1"/>
  <c r="Q25" i="3" s="1"/>
  <c r="M24" i="3"/>
  <c r="N24" i="3" s="1"/>
  <c r="O24" i="3" s="1"/>
  <c r="P24" i="3" s="1"/>
  <c r="Q24" i="3" s="1"/>
  <c r="M32" i="3"/>
  <c r="N32" i="3" s="1"/>
  <c r="O32" i="3" s="1"/>
  <c r="P32" i="3" s="1"/>
  <c r="Q32" i="3" s="1"/>
  <c r="N41" i="3"/>
  <c r="M41" i="3"/>
  <c r="M43" i="16" s="1"/>
  <c r="N50" i="3"/>
  <c r="O50" i="3" s="1"/>
  <c r="P50" i="3" s="1"/>
  <c r="Q50" i="3" s="1"/>
  <c r="N48" i="3"/>
  <c r="O48" i="3" s="1"/>
  <c r="P48" i="3" s="1"/>
  <c r="Q48" i="3" s="1"/>
  <c r="M48" i="3"/>
  <c r="M50" i="3"/>
  <c r="E5" i="15"/>
  <c r="L3" i="15"/>
  <c r="K3" i="15"/>
  <c r="J3" i="15"/>
  <c r="I3" i="15"/>
  <c r="H3" i="15"/>
  <c r="O41" i="3" l="1"/>
  <c r="N43" i="16"/>
  <c r="I4" i="15"/>
  <c r="J4" i="15"/>
  <c r="K4" i="15"/>
  <c r="L4" i="15"/>
  <c r="F9" i="15" l="1"/>
  <c r="M9" i="15" s="1"/>
  <c r="N9" i="15" s="1"/>
  <c r="O9" i="15" s="1"/>
  <c r="P9" i="15" s="1"/>
  <c r="Q9" i="15" s="1"/>
  <c r="F7" i="15"/>
  <c r="M7" i="15" s="1"/>
  <c r="N7" i="15" s="1"/>
  <c r="P41" i="3"/>
  <c r="O43" i="16"/>
  <c r="F8" i="15"/>
  <c r="M8" i="15" s="1"/>
  <c r="N8" i="15" s="1"/>
  <c r="O8" i="15" s="1"/>
  <c r="P8" i="15" s="1"/>
  <c r="Q8" i="15" s="1"/>
  <c r="M4" i="15" l="1"/>
  <c r="M3" i="15" s="1"/>
  <c r="M3" i="1" s="1"/>
  <c r="Q41" i="3"/>
  <c r="Q43" i="16" s="1"/>
  <c r="P43" i="16"/>
  <c r="O7" i="15"/>
  <c r="N4" i="15"/>
  <c r="M3" i="10" l="1"/>
  <c r="M4" i="10" s="1"/>
  <c r="N3" i="15"/>
  <c r="N3" i="1" s="1"/>
  <c r="P7" i="15"/>
  <c r="O4" i="15"/>
  <c r="M9" i="10" l="1"/>
  <c r="M12" i="1" s="1"/>
  <c r="M6" i="16" s="1"/>
  <c r="H20" i="6" s="1"/>
  <c r="N3" i="10"/>
  <c r="N9" i="10" s="1"/>
  <c r="N12" i="1" s="1"/>
  <c r="N6" i="16" s="1"/>
  <c r="I20" i="6" s="1"/>
  <c r="O3" i="15"/>
  <c r="O3" i="1" s="1"/>
  <c r="Q7" i="15"/>
  <c r="Q4" i="15" s="1"/>
  <c r="P4" i="15"/>
  <c r="M29" i="16"/>
  <c r="H21" i="6" s="1"/>
  <c r="M8" i="10"/>
  <c r="N4" i="10"/>
  <c r="M11" i="10" l="1"/>
  <c r="N7" i="10" s="1"/>
  <c r="O3" i="10"/>
  <c r="O4" i="10" s="1"/>
  <c r="P3" i="15"/>
  <c r="Q3" i="15" s="1"/>
  <c r="Q3" i="1" s="1"/>
  <c r="N8" i="10"/>
  <c r="N29" i="16"/>
  <c r="I21" i="6" s="1"/>
  <c r="M15" i="3"/>
  <c r="M45" i="3"/>
  <c r="N45" i="3" s="1"/>
  <c r="O45" i="3" s="1"/>
  <c r="P45" i="3" s="1"/>
  <c r="Q45" i="3" s="1"/>
  <c r="M43" i="3"/>
  <c r="N43" i="3" s="1"/>
  <c r="O43" i="3" s="1"/>
  <c r="P43" i="3" s="1"/>
  <c r="Q43" i="3" s="1"/>
  <c r="M42" i="3"/>
  <c r="N42" i="3" s="1"/>
  <c r="O42" i="3" s="1"/>
  <c r="P42" i="3" s="1"/>
  <c r="Q42" i="3" s="1"/>
  <c r="Q37" i="3"/>
  <c r="P37" i="3"/>
  <c r="O37" i="3"/>
  <c r="N37" i="3"/>
  <c r="N36" i="3"/>
  <c r="O36" i="3" s="1"/>
  <c r="P36" i="3" s="1"/>
  <c r="Q36" i="3" s="1"/>
  <c r="N34" i="3"/>
  <c r="O34" i="3" s="1"/>
  <c r="P34" i="3" s="1"/>
  <c r="Q34" i="3" s="1"/>
  <c r="N33" i="3"/>
  <c r="O33" i="3" s="1"/>
  <c r="P33" i="3" s="1"/>
  <c r="Q33" i="3" s="1"/>
  <c r="M37" i="3"/>
  <c r="M36" i="3"/>
  <c r="M35" i="3"/>
  <c r="N35" i="3" s="1"/>
  <c r="O35" i="3" s="1"/>
  <c r="P35" i="3" s="1"/>
  <c r="Q35" i="3" s="1"/>
  <c r="M34" i="3"/>
  <c r="M33" i="3"/>
  <c r="N26" i="3"/>
  <c r="O26" i="3" s="1"/>
  <c r="P26" i="3" s="1"/>
  <c r="Q26" i="3" s="1"/>
  <c r="N23" i="3"/>
  <c r="O23" i="3" s="1"/>
  <c r="P23" i="3" s="1"/>
  <c r="Q23" i="3" s="1"/>
  <c r="N21" i="3"/>
  <c r="O21" i="3" s="1"/>
  <c r="P21" i="3" s="1"/>
  <c r="Q21" i="3" s="1"/>
  <c r="M26" i="3"/>
  <c r="M23" i="3"/>
  <c r="M22" i="3"/>
  <c r="N22" i="3" s="1"/>
  <c r="O22" i="3" s="1"/>
  <c r="P22" i="3" s="1"/>
  <c r="Q22" i="3" s="1"/>
  <c r="M21" i="3"/>
  <c r="M20" i="3"/>
  <c r="N20" i="3" s="1"/>
  <c r="O20" i="3" s="1"/>
  <c r="P20" i="3" s="1"/>
  <c r="Q20" i="3" s="1"/>
  <c r="M19" i="3"/>
  <c r="N19" i="3" s="1"/>
  <c r="O19" i="3" s="1"/>
  <c r="P19" i="3" s="1"/>
  <c r="Q19" i="3" s="1"/>
  <c r="M18" i="3"/>
  <c r="N18" i="3" s="1"/>
  <c r="O18" i="3" s="1"/>
  <c r="P18" i="3" s="1"/>
  <c r="Q18" i="3" s="1"/>
  <c r="M17" i="3"/>
  <c r="N17" i="3" s="1"/>
  <c r="O17" i="3" s="1"/>
  <c r="P17" i="3" s="1"/>
  <c r="Q17" i="3" s="1"/>
  <c r="Q12" i="3"/>
  <c r="P12" i="3"/>
  <c r="O12" i="3"/>
  <c r="N12" i="3"/>
  <c r="N11" i="3"/>
  <c r="O11" i="3" s="1"/>
  <c r="P11" i="3" s="1"/>
  <c r="Q11" i="3" s="1"/>
  <c r="N10" i="3"/>
  <c r="O10" i="3" s="1"/>
  <c r="P10" i="3" s="1"/>
  <c r="Q10" i="3" s="1"/>
  <c r="M12" i="3"/>
  <c r="M11" i="3"/>
  <c r="M10" i="3"/>
  <c r="N8" i="3"/>
  <c r="O8" i="3" s="1"/>
  <c r="P8" i="3" s="1"/>
  <c r="Q8" i="3" s="1"/>
  <c r="M8" i="3"/>
  <c r="M5" i="3"/>
  <c r="N5" i="3" s="1"/>
  <c r="O5" i="3" s="1"/>
  <c r="P5" i="3" s="1"/>
  <c r="Q5" i="3" s="1"/>
  <c r="N31" i="1"/>
  <c r="L9" i="11"/>
  <c r="K9" i="11"/>
  <c r="J9" i="11"/>
  <c r="I9" i="11"/>
  <c r="I16" i="11" s="1"/>
  <c r="L8" i="11"/>
  <c r="K8" i="11"/>
  <c r="J8" i="11"/>
  <c r="I8" i="11"/>
  <c r="H9" i="11"/>
  <c r="H8" i="11"/>
  <c r="L5" i="11"/>
  <c r="K5" i="11"/>
  <c r="J5" i="11"/>
  <c r="I5" i="11"/>
  <c r="L4" i="11"/>
  <c r="K4" i="11"/>
  <c r="J4" i="11"/>
  <c r="I4" i="11"/>
  <c r="H5" i="11"/>
  <c r="H4" i="11"/>
  <c r="H6" i="11"/>
  <c r="I6" i="11"/>
  <c r="J6" i="11"/>
  <c r="K6" i="11"/>
  <c r="L6" i="11"/>
  <c r="H3" i="11"/>
  <c r="I3" i="11"/>
  <c r="J3" i="11"/>
  <c r="K3" i="11"/>
  <c r="L3" i="11"/>
  <c r="N17" i="1"/>
  <c r="O17" i="1"/>
  <c r="P17" i="1"/>
  <c r="Q17" i="1"/>
  <c r="O9" i="10" l="1"/>
  <c r="O12" i="1" s="1"/>
  <c r="O6" i="16" s="1"/>
  <c r="J20" i="6" s="1"/>
  <c r="Q3" i="10"/>
  <c r="Q4" i="10" s="1"/>
  <c r="H15" i="11"/>
  <c r="K14" i="11"/>
  <c r="H14" i="11"/>
  <c r="P3" i="1"/>
  <c r="I10" i="11"/>
  <c r="J14" i="11"/>
  <c r="L12" i="11"/>
  <c r="J15" i="11"/>
  <c r="I14" i="11"/>
  <c r="N11" i="10"/>
  <c r="O7" i="10" s="1"/>
  <c r="K13" i="11"/>
  <c r="P3" i="10"/>
  <c r="L15" i="11"/>
  <c r="I13" i="11"/>
  <c r="K16" i="11"/>
  <c r="L14" i="11"/>
  <c r="J7" i="11"/>
  <c r="H16" i="11"/>
  <c r="L16" i="11"/>
  <c r="O8" i="10"/>
  <c r="O29" i="16"/>
  <c r="J21" i="6" s="1"/>
  <c r="K15" i="11"/>
  <c r="J13" i="11"/>
  <c r="H13" i="11"/>
  <c r="L13" i="11"/>
  <c r="J10" i="11"/>
  <c r="I7" i="11"/>
  <c r="K10" i="11"/>
  <c r="J16" i="11"/>
  <c r="K7" i="11"/>
  <c r="I15" i="11"/>
  <c r="I12" i="11"/>
  <c r="L10" i="11"/>
  <c r="J12" i="11"/>
  <c r="K12" i="11"/>
  <c r="H7" i="11"/>
  <c r="H10" i="11"/>
  <c r="L7" i="11"/>
  <c r="Q9" i="10" l="1"/>
  <c r="Q12" i="1" s="1"/>
  <c r="Q6" i="16" s="1"/>
  <c r="L20" i="6" s="1"/>
  <c r="N15" i="3"/>
  <c r="Q8" i="10"/>
  <c r="Q29" i="16"/>
  <c r="L21" i="6" s="1"/>
  <c r="O11" i="10"/>
  <c r="P9" i="10"/>
  <c r="P12" i="1" s="1"/>
  <c r="P6" i="16" s="1"/>
  <c r="K20" i="6" s="1"/>
  <c r="P4" i="10"/>
  <c r="P8" i="10" l="1"/>
  <c r="P29" i="16"/>
  <c r="K21" i="6" s="1"/>
  <c r="P7" i="10"/>
  <c r="O15" i="3"/>
  <c r="M3" i="11"/>
  <c r="Q37" i="16"/>
  <c r="O37" i="16"/>
  <c r="N37" i="16"/>
  <c r="M37" i="16"/>
  <c r="L37" i="16"/>
  <c r="K37" i="16"/>
  <c r="J37" i="16"/>
  <c r="I37" i="16"/>
  <c r="H37" i="16"/>
  <c r="L19" i="16"/>
  <c r="L27" i="16" s="1"/>
  <c r="K19" i="16"/>
  <c r="K27" i="16" s="1"/>
  <c r="J19" i="16"/>
  <c r="J27" i="16" s="1"/>
  <c r="I19" i="16"/>
  <c r="I27" i="16" s="1"/>
  <c r="I49" i="16"/>
  <c r="J49" i="16"/>
  <c r="K49" i="16"/>
  <c r="H45" i="16"/>
  <c r="I45" i="16"/>
  <c r="J45" i="16"/>
  <c r="K45" i="16"/>
  <c r="L45" i="16"/>
  <c r="H19" i="16"/>
  <c r="H27" i="16" s="1"/>
  <c r="P37" i="16" l="1"/>
  <c r="P11" i="10"/>
  <c r="Q7" i="10" s="1"/>
  <c r="Q11" i="10" s="1"/>
  <c r="Q15" i="3" s="1"/>
  <c r="N3" i="11"/>
  <c r="M6" i="11"/>
  <c r="M6" i="1" s="1"/>
  <c r="M8" i="11"/>
  <c r="M5" i="11"/>
  <c r="M5" i="1" s="1"/>
  <c r="M4" i="11"/>
  <c r="M9" i="11"/>
  <c r="M10" i="1" s="1"/>
  <c r="P3" i="11"/>
  <c r="O3" i="11"/>
  <c r="H49" i="16"/>
  <c r="N14" i="14"/>
  <c r="O14" i="14"/>
  <c r="H7" i="14"/>
  <c r="I7" i="14"/>
  <c r="J7" i="14"/>
  <c r="K7" i="14"/>
  <c r="L7" i="14"/>
  <c r="H3" i="14"/>
  <c r="I3" i="14"/>
  <c r="J3" i="14"/>
  <c r="K3" i="14"/>
  <c r="L3" i="14"/>
  <c r="M3" i="14"/>
  <c r="P15" i="3" l="1"/>
  <c r="N3" i="14"/>
  <c r="N5" i="14" s="1"/>
  <c r="N6" i="3" s="1"/>
  <c r="P3" i="14"/>
  <c r="P5" i="14" s="1"/>
  <c r="P6" i="3" s="1"/>
  <c r="O3" i="14"/>
  <c r="O5" i="14" s="1"/>
  <c r="O6" i="3" s="1"/>
  <c r="M4" i="1"/>
  <c r="M7" i="11"/>
  <c r="O9" i="11"/>
  <c r="O10" i="1" s="1"/>
  <c r="O5" i="11"/>
  <c r="O5" i="1" s="1"/>
  <c r="O6" i="11"/>
  <c r="O6" i="1" s="1"/>
  <c r="O8" i="11"/>
  <c r="O4" i="11"/>
  <c r="M9" i="1"/>
  <c r="M10" i="11"/>
  <c r="P9" i="11"/>
  <c r="P10" i="1" s="1"/>
  <c r="P5" i="11"/>
  <c r="P5" i="1" s="1"/>
  <c r="P4" i="11"/>
  <c r="P8" i="11"/>
  <c r="P6" i="11"/>
  <c r="P6" i="1" s="1"/>
  <c r="N9" i="11"/>
  <c r="N10" i="1" s="1"/>
  <c r="N5" i="11"/>
  <c r="N5" i="1" s="1"/>
  <c r="N8" i="11"/>
  <c r="N4" i="11"/>
  <c r="N6" i="11"/>
  <c r="N6" i="1" s="1"/>
  <c r="P14" i="14"/>
  <c r="P21" i="16" l="1"/>
  <c r="O21" i="16"/>
  <c r="N4" i="1"/>
  <c r="N7" i="11"/>
  <c r="O4" i="1"/>
  <c r="O7" i="11"/>
  <c r="O10" i="11"/>
  <c r="O9" i="1"/>
  <c r="N10" i="11"/>
  <c r="N9" i="1"/>
  <c r="P10" i="11"/>
  <c r="P9" i="1"/>
  <c r="P7" i="11"/>
  <c r="P4" i="1"/>
  <c r="L6" i="14"/>
  <c r="K6" i="14"/>
  <c r="J6" i="14"/>
  <c r="I6" i="14"/>
  <c r="L5" i="14"/>
  <c r="K5" i="14"/>
  <c r="J5" i="14"/>
  <c r="J8" i="14" s="1"/>
  <c r="I5" i="14"/>
  <c r="I8" i="14" s="1"/>
  <c r="H6" i="14"/>
  <c r="H5" i="14"/>
  <c r="K8" i="14" l="1"/>
  <c r="L8" i="14"/>
  <c r="H8" i="14"/>
  <c r="I9" i="14" s="1"/>
  <c r="I11" i="14"/>
  <c r="J11" i="14"/>
  <c r="K11" i="14"/>
  <c r="L11" i="14"/>
  <c r="H11" i="14"/>
  <c r="Q3" i="11"/>
  <c r="Q3" i="14"/>
  <c r="L9" i="14" l="1"/>
  <c r="K9" i="14"/>
  <c r="J9" i="14"/>
  <c r="Q14" i="14"/>
  <c r="Q5" i="14"/>
  <c r="Q6" i="3" s="1"/>
  <c r="Q21" i="16" s="1"/>
  <c r="Q5" i="11"/>
  <c r="Q5" i="1" s="1"/>
  <c r="Q8" i="11"/>
  <c r="Q6" i="11"/>
  <c r="Q6" i="1" s="1"/>
  <c r="Q4" i="11"/>
  <c r="Q9" i="11"/>
  <c r="Q10" i="1" s="1"/>
  <c r="L38" i="3"/>
  <c r="K38" i="3"/>
  <c r="J38" i="3"/>
  <c r="I38" i="3"/>
  <c r="H38" i="3"/>
  <c r="L13" i="3"/>
  <c r="K13" i="3"/>
  <c r="J13" i="3"/>
  <c r="I13" i="3"/>
  <c r="H13" i="3"/>
  <c r="Q7" i="11" l="1"/>
  <c r="Q4" i="1"/>
  <c r="Q10" i="11"/>
  <c r="Q9" i="1"/>
  <c r="L46" i="3"/>
  <c r="L51" i="3"/>
  <c r="K51" i="3"/>
  <c r="J51" i="3"/>
  <c r="I51" i="3"/>
  <c r="L26" i="1"/>
  <c r="K26" i="1"/>
  <c r="J26" i="1"/>
  <c r="I26" i="1"/>
  <c r="L52" i="3" l="1"/>
  <c r="H51" i="3"/>
  <c r="K46" i="3"/>
  <c r="J46" i="3"/>
  <c r="J52" i="3" s="1"/>
  <c r="I46" i="3"/>
  <c r="H46" i="3"/>
  <c r="H52" i="3" s="1"/>
  <c r="Q27" i="3"/>
  <c r="P27" i="3"/>
  <c r="O27" i="3"/>
  <c r="N27" i="3"/>
  <c r="M27" i="3"/>
  <c r="L27" i="3"/>
  <c r="K27" i="3"/>
  <c r="J27" i="3"/>
  <c r="I27" i="3"/>
  <c r="I28" i="3" s="1"/>
  <c r="K52" i="3"/>
  <c r="J28" i="3" l="1"/>
  <c r="J54" i="3" s="1"/>
  <c r="K28" i="3"/>
  <c r="K54" i="3" s="1"/>
  <c r="L28" i="3"/>
  <c r="L54" i="3" s="1"/>
  <c r="I52" i="3"/>
  <c r="I54" i="3" s="1"/>
  <c r="H27" i="3"/>
  <c r="H28" i="3" l="1"/>
  <c r="H54" i="3" s="1"/>
  <c r="H26" i="1"/>
  <c r="Q7" i="1"/>
  <c r="P7" i="1"/>
  <c r="O7" i="1"/>
  <c r="N7" i="1"/>
  <c r="M7" i="1"/>
  <c r="L7" i="1"/>
  <c r="K7" i="1"/>
  <c r="J7" i="1"/>
  <c r="I7" i="1"/>
  <c r="H7" i="1"/>
  <c r="H4" i="14" s="1"/>
  <c r="H13" i="14" l="1"/>
  <c r="H12" i="14"/>
  <c r="H14" i="14" s="1"/>
  <c r="H8" i="1"/>
  <c r="H11" i="1" s="1"/>
  <c r="H13" i="1" s="1"/>
  <c r="I4" i="14"/>
  <c r="I8" i="1"/>
  <c r="I11" i="1" s="1"/>
  <c r="I13" i="1" s="1"/>
  <c r="I16" i="1" s="1"/>
  <c r="I18" i="1" s="1"/>
  <c r="I31" i="1" s="1"/>
  <c r="J8" i="1"/>
  <c r="J11" i="1" s="1"/>
  <c r="J13" i="1" s="1"/>
  <c r="J16" i="1" s="1"/>
  <c r="J18" i="1" s="1"/>
  <c r="J31" i="1" s="1"/>
  <c r="J4" i="14"/>
  <c r="K8" i="1"/>
  <c r="K11" i="1" s="1"/>
  <c r="K13" i="1" s="1"/>
  <c r="K16" i="1" s="1"/>
  <c r="K18" i="1" s="1"/>
  <c r="K31" i="1" s="1"/>
  <c r="K4" i="14"/>
  <c r="L8" i="1"/>
  <c r="L11" i="1" s="1"/>
  <c r="L13" i="1" s="1"/>
  <c r="L16" i="1" s="1"/>
  <c r="L18" i="1" s="1"/>
  <c r="L4" i="14"/>
  <c r="M4" i="14"/>
  <c r="M8" i="1"/>
  <c r="P4" i="14"/>
  <c r="P8" i="1"/>
  <c r="N4" i="14"/>
  <c r="N8" i="1"/>
  <c r="O4" i="14"/>
  <c r="O8" i="1"/>
  <c r="Q4" i="14"/>
  <c r="Q8" i="1"/>
  <c r="I2" i="3"/>
  <c r="J2" i="3" s="1"/>
  <c r="K2" i="3" s="1"/>
  <c r="L2" i="3" s="1"/>
  <c r="M2" i="3" s="1"/>
  <c r="N2" i="3" s="1"/>
  <c r="O2" i="3" s="1"/>
  <c r="P2" i="3" s="1"/>
  <c r="Q2" i="3" s="1"/>
  <c r="I2" i="16"/>
  <c r="J2" i="16" s="1"/>
  <c r="K2" i="16" s="1"/>
  <c r="L2" i="16" s="1"/>
  <c r="M2" i="16" s="1"/>
  <c r="N2" i="16" s="1"/>
  <c r="O2" i="16" s="1"/>
  <c r="P2" i="16" s="1"/>
  <c r="Q2" i="16" s="1"/>
  <c r="I2" i="15"/>
  <c r="J2" i="15" s="1"/>
  <c r="K2" i="15" s="1"/>
  <c r="L2" i="15" s="1"/>
  <c r="M2" i="15" s="1"/>
  <c r="N2" i="15" s="1"/>
  <c r="O2" i="15" s="1"/>
  <c r="P2" i="15" s="1"/>
  <c r="Q2" i="15" s="1"/>
  <c r="I2" i="14"/>
  <c r="J2" i="14" s="1"/>
  <c r="K2" i="14" s="1"/>
  <c r="L2" i="14" s="1"/>
  <c r="M2" i="14" s="1"/>
  <c r="N2" i="14" s="1"/>
  <c r="O2" i="14" s="1"/>
  <c r="P2" i="14" s="1"/>
  <c r="Q2" i="14" s="1"/>
  <c r="I2" i="13"/>
  <c r="J2" i="13" s="1"/>
  <c r="K2" i="13" s="1"/>
  <c r="L2" i="13" s="1"/>
  <c r="M2" i="13" s="1"/>
  <c r="N2" i="13" s="1"/>
  <c r="O2" i="13" s="1"/>
  <c r="P2" i="13" s="1"/>
  <c r="Q2" i="13" s="1"/>
  <c r="I2" i="11"/>
  <c r="J2" i="11" s="1"/>
  <c r="K2" i="11" s="1"/>
  <c r="L2" i="11" s="1"/>
  <c r="M2" i="11" s="1"/>
  <c r="N2" i="11" s="1"/>
  <c r="O2" i="11" s="1"/>
  <c r="P2" i="11" s="1"/>
  <c r="Q2" i="11" s="1"/>
  <c r="I2" i="10"/>
  <c r="J2" i="10" s="1"/>
  <c r="K2" i="10" s="1"/>
  <c r="L2" i="10" s="1"/>
  <c r="M2" i="10" s="1"/>
  <c r="N2" i="10" s="1"/>
  <c r="O2" i="10" s="1"/>
  <c r="P2" i="10" s="1"/>
  <c r="Q2" i="10" s="1"/>
  <c r="I2" i="1"/>
  <c r="J2" i="1" s="1"/>
  <c r="K2" i="1" s="1"/>
  <c r="L2" i="1" s="1"/>
  <c r="M2" i="1" s="1"/>
  <c r="N2" i="1" s="1"/>
  <c r="O2" i="1" s="1"/>
  <c r="P2" i="1" s="1"/>
  <c r="Q2" i="1" s="1"/>
  <c r="M11" i="1" l="1"/>
  <c r="M39" i="1"/>
  <c r="O11" i="1"/>
  <c r="O39" i="1"/>
  <c r="P11" i="1"/>
  <c r="P39" i="1"/>
  <c r="Q11" i="1"/>
  <c r="Q39" i="1"/>
  <c r="N11" i="1"/>
  <c r="N39" i="1"/>
  <c r="H16" i="1"/>
  <c r="H18" i="1" s="1"/>
  <c r="I22" i="1"/>
  <c r="I36" i="1" s="1"/>
  <c r="H31" i="1"/>
  <c r="H22" i="1"/>
  <c r="H36" i="1" s="1"/>
  <c r="L22" i="1"/>
  <c r="L36" i="1" s="1"/>
  <c r="L31" i="1"/>
  <c r="K13" i="14"/>
  <c r="K12" i="14"/>
  <c r="K22" i="1"/>
  <c r="K36" i="1" s="1"/>
  <c r="J13" i="14"/>
  <c r="J12" i="14"/>
  <c r="L13" i="14"/>
  <c r="L12" i="14"/>
  <c r="J22" i="1"/>
  <c r="J36" i="1" s="1"/>
  <c r="I13" i="14"/>
  <c r="I12" i="14"/>
  <c r="Q6" i="14"/>
  <c r="Q7" i="3" s="1"/>
  <c r="Q7" i="14"/>
  <c r="M6" i="14"/>
  <c r="M7" i="3" s="1"/>
  <c r="M7" i="14"/>
  <c r="O6" i="14"/>
  <c r="O7" i="3" s="1"/>
  <c r="O7" i="14"/>
  <c r="N7" i="14"/>
  <c r="N6" i="14"/>
  <c r="N7" i="3" s="1"/>
  <c r="P7" i="14"/>
  <c r="P6" i="14"/>
  <c r="P7" i="3" s="1"/>
  <c r="M14" i="14"/>
  <c r="M5" i="14"/>
  <c r="M6" i="3" s="1"/>
  <c r="N13" i="1" l="1"/>
  <c r="N40" i="1"/>
  <c r="P13" i="1"/>
  <c r="P40" i="1"/>
  <c r="O13" i="1"/>
  <c r="O40" i="1"/>
  <c r="M13" i="1"/>
  <c r="M40" i="1"/>
  <c r="Q13" i="1"/>
  <c r="Q40" i="1"/>
  <c r="O8" i="14"/>
  <c r="N8" i="14"/>
  <c r="Q8" i="14"/>
  <c r="N21" i="16"/>
  <c r="M21" i="16"/>
  <c r="M8" i="14"/>
  <c r="M9" i="14" s="1"/>
  <c r="P8" i="14"/>
  <c r="Q30" i="3"/>
  <c r="P30" i="3"/>
  <c r="P38" i="3" s="1"/>
  <c r="N30" i="3"/>
  <c r="N38" i="3" s="1"/>
  <c r="O30" i="3"/>
  <c r="M30" i="3"/>
  <c r="M24" i="16" s="1"/>
  <c r="L14" i="14"/>
  <c r="J14" i="14"/>
  <c r="I14" i="14"/>
  <c r="K14" i="14"/>
  <c r="O23" i="16"/>
  <c r="P23" i="16"/>
  <c r="M23" i="16"/>
  <c r="N23" i="16"/>
  <c r="Q23" i="16"/>
  <c r="M41" i="1" l="1"/>
  <c r="M16" i="1"/>
  <c r="M18" i="1" s="1"/>
  <c r="H17" i="6"/>
  <c r="H18" i="6" s="1"/>
  <c r="H19" i="6" s="1"/>
  <c r="J17" i="6"/>
  <c r="J18" i="6" s="1"/>
  <c r="J19" i="6" s="1"/>
  <c r="O41" i="1"/>
  <c r="K17" i="6"/>
  <c r="K18" i="6" s="1"/>
  <c r="K19" i="6" s="1"/>
  <c r="P41" i="1"/>
  <c r="L17" i="6"/>
  <c r="Q41" i="1"/>
  <c r="I17" i="6"/>
  <c r="I18" i="6" s="1"/>
  <c r="I19" i="6" s="1"/>
  <c r="N41" i="1"/>
  <c r="H22" i="6"/>
  <c r="H23" i="6" s="1"/>
  <c r="H25" i="6" s="1"/>
  <c r="N24" i="16"/>
  <c r="I22" i="6" s="1"/>
  <c r="Q24" i="16"/>
  <c r="L22" i="6" s="1"/>
  <c r="Q38" i="3"/>
  <c r="M38" i="3"/>
  <c r="O38" i="3"/>
  <c r="P24" i="16"/>
  <c r="K22" i="6" s="1"/>
  <c r="O24" i="16"/>
  <c r="J22" i="6" s="1"/>
  <c r="O9" i="14"/>
  <c r="P9" i="14"/>
  <c r="N9" i="14"/>
  <c r="Q9" i="14"/>
  <c r="I23" i="6" l="1"/>
  <c r="I25" i="6" s="1"/>
  <c r="J23" i="6"/>
  <c r="J25" i="6" s="1"/>
  <c r="O19" i="6"/>
  <c r="L18" i="6"/>
  <c r="L19" i="6" s="1"/>
  <c r="L23" i="6" s="1"/>
  <c r="K23" i="6"/>
  <c r="K25" i="6" s="1"/>
  <c r="M4" i="16"/>
  <c r="M19" i="16" s="1"/>
  <c r="M19" i="1"/>
  <c r="O20" i="6" l="1"/>
  <c r="O21" i="6" s="1"/>
  <c r="M23" i="6" s="1"/>
  <c r="M25" i="6" s="1"/>
  <c r="E28" i="6" s="1"/>
  <c r="L25" i="6"/>
  <c r="M22" i="1"/>
  <c r="M65" i="3" s="1"/>
  <c r="M26" i="16"/>
  <c r="M27" i="16"/>
  <c r="M42" i="1" l="1"/>
  <c r="M24" i="1"/>
  <c r="M32" i="1"/>
  <c r="M49" i="3" l="1"/>
  <c r="M51" i="3" s="1"/>
  <c r="M61" i="3" s="1"/>
  <c r="M35" i="1"/>
  <c r="M42" i="16"/>
  <c r="M45" i="16" s="1"/>
  <c r="M46" i="16" s="1"/>
  <c r="M49" i="16" s="1"/>
  <c r="M34" i="1"/>
  <c r="M29" i="1" s="1"/>
  <c r="M26" i="1"/>
  <c r="M28" i="1" s="1"/>
  <c r="M4" i="3" l="1"/>
  <c r="N47" i="16"/>
  <c r="E20" i="7"/>
  <c r="H20" i="7" s="1"/>
  <c r="E19" i="7"/>
  <c r="F19" i="7" s="1"/>
  <c r="H19" i="7" s="1"/>
  <c r="J19" i="7" s="1"/>
  <c r="E18" i="7"/>
  <c r="F18" i="7" s="1"/>
  <c r="H18" i="7" s="1"/>
  <c r="J18" i="7" s="1"/>
  <c r="E29" i="6" l="1"/>
  <c r="E32" i="6" s="1"/>
  <c r="E34" i="6" s="1"/>
  <c r="M13" i="3"/>
  <c r="E5" i="17"/>
  <c r="E6" i="17" s="1"/>
  <c r="F20" i="7"/>
  <c r="J20" i="7"/>
  <c r="E7" i="17" s="1"/>
  <c r="M6" i="13"/>
  <c r="M14" i="13" s="1"/>
  <c r="J38" i="6" l="1"/>
  <c r="J46" i="6"/>
  <c r="M28" i="3"/>
  <c r="M57" i="3"/>
  <c r="M58" i="3"/>
  <c r="I29" i="6"/>
  <c r="E8" i="17"/>
  <c r="M15" i="13"/>
  <c r="M40" i="3"/>
  <c r="N3" i="13"/>
  <c r="N6" i="13" s="1"/>
  <c r="N14" i="13" s="1"/>
  <c r="M67" i="3" l="1"/>
  <c r="M66" i="3"/>
  <c r="M68" i="3" s="1"/>
  <c r="I30" i="6"/>
  <c r="M46" i="3"/>
  <c r="M52" i="3" s="1"/>
  <c r="M54" i="3" s="1"/>
  <c r="M60" i="3"/>
  <c r="M59" i="3"/>
  <c r="M62" i="3"/>
  <c r="M63" i="3"/>
  <c r="N15" i="13"/>
  <c r="N40" i="3"/>
  <c r="N8" i="13"/>
  <c r="O3" i="13"/>
  <c r="O6" i="13" s="1"/>
  <c r="O14" i="13" s="1"/>
  <c r="N46" i="3" l="1"/>
  <c r="O15" i="13"/>
  <c r="O40" i="3"/>
  <c r="N14" i="1"/>
  <c r="O8" i="13"/>
  <c r="N16" i="1"/>
  <c r="N18" i="1" s="1"/>
  <c r="N4" i="16" s="1"/>
  <c r="P3" i="13"/>
  <c r="P8" i="13" s="1"/>
  <c r="O46" i="3" l="1"/>
  <c r="N19" i="1"/>
  <c r="N26" i="16" s="1"/>
  <c r="N16" i="16"/>
  <c r="N19" i="16" s="1"/>
  <c r="N44" i="16"/>
  <c r="P14" i="1"/>
  <c r="O14" i="1"/>
  <c r="O44" i="16" s="1"/>
  <c r="P6" i="13"/>
  <c r="P14" i="13" s="1"/>
  <c r="Q3" i="13"/>
  <c r="Q8" i="13" s="1"/>
  <c r="N27" i="16" l="1"/>
  <c r="N22" i="1"/>
  <c r="N65" i="3" s="1"/>
  <c r="Q6" i="13"/>
  <c r="Q14" i="13" s="1"/>
  <c r="Q15" i="13" s="1"/>
  <c r="P16" i="16"/>
  <c r="P44" i="16"/>
  <c r="P16" i="1"/>
  <c r="P18" i="1" s="1"/>
  <c r="P19" i="1" s="1"/>
  <c r="P26" i="16" s="1"/>
  <c r="P15" i="13"/>
  <c r="P40" i="3"/>
  <c r="Q14" i="1"/>
  <c r="O16" i="16"/>
  <c r="O16" i="1"/>
  <c r="O18" i="1" s="1"/>
  <c r="P46" i="3" l="1"/>
  <c r="Q40" i="3"/>
  <c r="N32" i="1"/>
  <c r="N49" i="3" s="1"/>
  <c r="N51" i="3" s="1"/>
  <c r="N42" i="1"/>
  <c r="N24" i="1"/>
  <c r="N34" i="1" s="1"/>
  <c r="N29" i="1" s="1"/>
  <c r="P4" i="16"/>
  <c r="P19" i="16" s="1"/>
  <c r="P27" i="16" s="1"/>
  <c r="Q16" i="16"/>
  <c r="Q44" i="16"/>
  <c r="P22" i="1"/>
  <c r="P65" i="3" s="1"/>
  <c r="Q16" i="1"/>
  <c r="Q18" i="1" s="1"/>
  <c r="Q19" i="1" s="1"/>
  <c r="Q26" i="16" s="1"/>
  <c r="O4" i="16"/>
  <c r="O19" i="16" s="1"/>
  <c r="O19" i="1"/>
  <c r="O26" i="16" s="1"/>
  <c r="N52" i="3" l="1"/>
  <c r="N60" i="3"/>
  <c r="N59" i="3"/>
  <c r="N61" i="3"/>
  <c r="Q46" i="3"/>
  <c r="N26" i="1"/>
  <c r="N28" i="1" s="1"/>
  <c r="N42" i="16"/>
  <c r="N45" i="16" s="1"/>
  <c r="N46" i="16" s="1"/>
  <c r="N49" i="16" s="1"/>
  <c r="O47" i="16" s="1"/>
  <c r="N35" i="1"/>
  <c r="P24" i="1"/>
  <c r="P34" i="1" s="1"/>
  <c r="P29" i="1" s="1"/>
  <c r="P42" i="1"/>
  <c r="P32" i="1"/>
  <c r="P42" i="16" s="1"/>
  <c r="P45" i="16" s="1"/>
  <c r="P46" i="16" s="1"/>
  <c r="Q22" i="1"/>
  <c r="Q65" i="3" s="1"/>
  <c r="Q4" i="16"/>
  <c r="Q19" i="16" s="1"/>
  <c r="Q27" i="16" s="1"/>
  <c r="O22" i="1"/>
  <c r="O65" i="3" s="1"/>
  <c r="O27" i="16"/>
  <c r="P26" i="1" l="1"/>
  <c r="P28" i="1" s="1"/>
  <c r="N4" i="3"/>
  <c r="N13" i="3" s="1"/>
  <c r="N28" i="3" s="1"/>
  <c r="Q24" i="1"/>
  <c r="Q34" i="1" s="1"/>
  <c r="Q29" i="1" s="1"/>
  <c r="Q42" i="1"/>
  <c r="O32" i="1"/>
  <c r="O35" i="1" s="1"/>
  <c r="O42" i="1"/>
  <c r="P35" i="1"/>
  <c r="Q32" i="1"/>
  <c r="Q42" i="16" s="1"/>
  <c r="Q45" i="16" s="1"/>
  <c r="Q46" i="16" s="1"/>
  <c r="O24" i="1"/>
  <c r="O34" i="1" s="1"/>
  <c r="O29" i="1" s="1"/>
  <c r="N58" i="3" l="1"/>
  <c r="N57" i="3"/>
  <c r="O49" i="3"/>
  <c r="N67" i="3"/>
  <c r="N66" i="3"/>
  <c r="Q26" i="1"/>
  <c r="Q28" i="1" s="1"/>
  <c r="N54" i="3"/>
  <c r="N62" i="3"/>
  <c r="N63" i="3"/>
  <c r="O42" i="16"/>
  <c r="O45" i="16" s="1"/>
  <c r="O46" i="16" s="1"/>
  <c r="O49" i="16" s="1"/>
  <c r="P47" i="16" s="1"/>
  <c r="P49" i="16" s="1"/>
  <c r="P4" i="3" s="1"/>
  <c r="P13" i="3" s="1"/>
  <c r="Q35" i="1"/>
  <c r="O26" i="1"/>
  <c r="O28" i="1" s="1"/>
  <c r="O51" i="3"/>
  <c r="P49" i="3"/>
  <c r="N68" i="3" l="1"/>
  <c r="P28" i="3"/>
  <c r="P58" i="3"/>
  <c r="P57" i="3"/>
  <c r="O4" i="3"/>
  <c r="O13" i="3" s="1"/>
  <c r="O52" i="3"/>
  <c r="O60" i="3"/>
  <c r="O59" i="3"/>
  <c r="O61" i="3"/>
  <c r="Q49" i="3"/>
  <c r="Q51" i="3" s="1"/>
  <c r="P51" i="3"/>
  <c r="P61" i="3" s="1"/>
  <c r="Q47" i="16"/>
  <c r="Q49" i="16" s="1"/>
  <c r="Q4" i="3" s="1"/>
  <c r="Q13" i="3" s="1"/>
  <c r="Q28" i="3" l="1"/>
  <c r="Q62" i="3" s="1"/>
  <c r="Q58" i="3"/>
  <c r="Q57" i="3"/>
  <c r="O28" i="3"/>
  <c r="O58" i="3"/>
  <c r="O57" i="3"/>
  <c r="P52" i="3"/>
  <c r="P54" i="3" s="1"/>
  <c r="P59" i="3"/>
  <c r="P60" i="3"/>
  <c r="Q61" i="3"/>
  <c r="Q52" i="3"/>
  <c r="Q60" i="3"/>
  <c r="Q59" i="3"/>
  <c r="Q67" i="3" l="1"/>
  <c r="P67" i="3"/>
  <c r="P66" i="3"/>
  <c r="P68" i="3" s="1"/>
  <c r="O67" i="3"/>
  <c r="O66" i="3"/>
  <c r="O68" i="3" s="1"/>
  <c r="Q66" i="3"/>
  <c r="Q54" i="3"/>
  <c r="Q63" i="3"/>
  <c r="O54" i="3"/>
  <c r="P62" i="3"/>
  <c r="P63" i="3"/>
  <c r="O63" i="3"/>
  <c r="O62" i="3"/>
  <c r="Q68" i="3" l="1"/>
  <c r="O12" i="7" l="1"/>
  <c r="P12" i="7"/>
  <c r="Q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31" authorId="0" shapeId="0" xr:uid="{896B8465-02FB-4BAD-A6F8-1114AB19D3BC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As per Management guideance, in concall of Q1FY27.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39" authorId="0" shapeId="0" xr:uid="{D4B4F2AF-CAE3-440A-A41F-359C782E199B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Rs 5,900.40 is shown as loan repayment on demand in Annual Report.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4" authorId="0" shapeId="0" xr:uid="{3A634AE8-946A-4A2A-93D6-6F69A9A80BAA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As per the CRISIL Credit Rating report, Rs 1,100 crore for Acquistion &amp; Rs 700 crore for ongoing Expension.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K4" authorId="0" shapeId="0" xr:uid="{824A16A8-2840-48EA-98E0-7592A2F70DA3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Sourced from Moneycontrol.com
</t>
        </r>
      </text>
    </comment>
    <comment ref="E33" authorId="0" shapeId="0" xr:uid="{19069F20-3DF2-4EC5-84E4-24A94ACF1C99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10 year govt bond yield.
</t>
        </r>
      </text>
    </comment>
    <comment ref="E37" authorId="0" shapeId="0" xr:uid="{379A0151-FE3F-44BB-8561-476286612A38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used CAPM formula
</t>
        </r>
      </text>
    </comment>
  </commentList>
</comments>
</file>

<file path=xl/sharedStrings.xml><?xml version="1.0" encoding="utf-8"?>
<sst xmlns="http://schemas.openxmlformats.org/spreadsheetml/2006/main" count="627" uniqueCount="324">
  <si>
    <t>Historicals</t>
  </si>
  <si>
    <t>Forecasted</t>
  </si>
  <si>
    <t>Constants</t>
  </si>
  <si>
    <t>Units</t>
  </si>
  <si>
    <t>Alkem Laboratories Ltd</t>
  </si>
  <si>
    <t>Sales</t>
  </si>
  <si>
    <t>Cost of Materials Consumed</t>
  </si>
  <si>
    <t>Purchases of stock in trade</t>
  </si>
  <si>
    <t>Changes in Inventory</t>
  </si>
  <si>
    <t>Gross Profit</t>
  </si>
  <si>
    <t>Employee Expenses</t>
  </si>
  <si>
    <t>Operating Expenses</t>
  </si>
  <si>
    <t>EBITDA</t>
  </si>
  <si>
    <t>Depreciation &amp; Amortisation Expenses</t>
  </si>
  <si>
    <t>EBIT</t>
  </si>
  <si>
    <t>Interest Income</t>
  </si>
  <si>
    <t>Interest Expenses</t>
  </si>
  <si>
    <t>Profit before Tax &amp; Exceptional Items</t>
  </si>
  <si>
    <t>Exceptional Items</t>
  </si>
  <si>
    <t>Profit before Tax</t>
  </si>
  <si>
    <t>Current Tax</t>
  </si>
  <si>
    <t>Deferred Tax</t>
  </si>
  <si>
    <t>PAT</t>
  </si>
  <si>
    <t>Profit to NCI</t>
  </si>
  <si>
    <t>Profit to Share holders</t>
  </si>
  <si>
    <t>PAT + OCI</t>
  </si>
  <si>
    <t>Other Comprehensive Income (OCI)</t>
  </si>
  <si>
    <t>Profit to Non-Controling Interest (NCI)</t>
  </si>
  <si>
    <t>Basic &amp; Diluted EPS</t>
  </si>
  <si>
    <t>Current Assets</t>
  </si>
  <si>
    <t>Inventories</t>
  </si>
  <si>
    <t>Investments</t>
  </si>
  <si>
    <t>Trade receivables</t>
  </si>
  <si>
    <t>Cash and cash equivalents</t>
  </si>
  <si>
    <t xml:space="preserve">Bank balances </t>
  </si>
  <si>
    <t>Loans</t>
  </si>
  <si>
    <t>Other financial assets</t>
  </si>
  <si>
    <t xml:space="preserve">Other current assets </t>
  </si>
  <si>
    <t>Total Current Assets</t>
  </si>
  <si>
    <t>Non Current Asset held for Sale</t>
  </si>
  <si>
    <t>Non Current Assets</t>
  </si>
  <si>
    <t>Property, plant and equipment</t>
  </si>
  <si>
    <t>Capital work in progress</t>
  </si>
  <si>
    <t>Goodwill</t>
  </si>
  <si>
    <t>Other intangible assets</t>
  </si>
  <si>
    <t>Deferred tax assets (net)</t>
  </si>
  <si>
    <t>Non-current tax assets (net)</t>
  </si>
  <si>
    <t>Other non-current assets</t>
  </si>
  <si>
    <t>Total Non Current Assets</t>
  </si>
  <si>
    <t>Total Assets</t>
  </si>
  <si>
    <t>Current Liabilities</t>
  </si>
  <si>
    <t>Borrowings</t>
  </si>
  <si>
    <t>Lease liabilities</t>
  </si>
  <si>
    <t>Trade payables</t>
  </si>
  <si>
    <t>Other financial liabilities</t>
  </si>
  <si>
    <t>Other current liabilities</t>
  </si>
  <si>
    <t>Provisions</t>
  </si>
  <si>
    <t>Current tax liabilities (net)</t>
  </si>
  <si>
    <t>Toal Current Liabilities</t>
  </si>
  <si>
    <t>Non Current Liabilities</t>
  </si>
  <si>
    <t>Other non-current liabilities</t>
  </si>
  <si>
    <t>Total Non Current Liabilities</t>
  </si>
  <si>
    <t>Equity</t>
  </si>
  <si>
    <t>Equity share capital</t>
  </si>
  <si>
    <t>Other equity</t>
  </si>
  <si>
    <t>Non-controlling interest</t>
  </si>
  <si>
    <t>Total Equity</t>
  </si>
  <si>
    <t>Total Equity &amp; Liabilities</t>
  </si>
  <si>
    <t>Check</t>
  </si>
  <si>
    <t>₹</t>
  </si>
  <si>
    <t>₹ in Millions</t>
  </si>
  <si>
    <t>Right of use Assets</t>
  </si>
  <si>
    <t>Intangible Assets under Development</t>
  </si>
  <si>
    <t>Investments in Associates</t>
  </si>
  <si>
    <t>Liabiliteis held for sale</t>
  </si>
  <si>
    <t>Loss from Associates</t>
  </si>
  <si>
    <t>Deferred tax liabilities</t>
  </si>
  <si>
    <t>Ebitda margin narrowed by 140 basis points to 20.5% from 21.9% last year, indicating that expenses grew faster than revenue during the quarter.</t>
  </si>
  <si>
    <t>The decline in bottom-line profit was also driven by a sharp rise in tax expense, which increased to Rs 251 crore from Rs 103 crore in the corresponding quarter of the previous year.</t>
  </si>
  <si>
    <t>Total of Cost of Good sold</t>
  </si>
  <si>
    <t>Cash flow from Operations</t>
  </si>
  <si>
    <t>Accounts Receivable</t>
  </si>
  <si>
    <t>Inventory</t>
  </si>
  <si>
    <t>Accounts Payables</t>
  </si>
  <si>
    <t>Days Sales Outstanding (DSO)</t>
  </si>
  <si>
    <t>Days Inventory Outstanding (DIO)</t>
  </si>
  <si>
    <t>Days Payable Outstanding (DPO)</t>
  </si>
  <si>
    <t>Revenue</t>
  </si>
  <si>
    <t>Cost of Goods Sold</t>
  </si>
  <si>
    <t>Cash Conversion Cycles</t>
  </si>
  <si>
    <t>Days</t>
  </si>
  <si>
    <t>Net Woring Capital</t>
  </si>
  <si>
    <t>Changes in Working Captial</t>
  </si>
  <si>
    <t xml:space="preserve">Profit before Tax </t>
  </si>
  <si>
    <t>Adjustments;</t>
  </si>
  <si>
    <t>Depreciation and amortisation expense</t>
  </si>
  <si>
    <t>Liabilities no longer required written back</t>
  </si>
  <si>
    <t>Profit on sale of investments</t>
  </si>
  <si>
    <t xml:space="preserve">Unrealised (gain) / loss on fair valuation of investments </t>
  </si>
  <si>
    <t>Profit on sale of property plant and equipment (net)</t>
  </si>
  <si>
    <t>Unrealised foreign currency (gain) / loss on revaluation (net)</t>
  </si>
  <si>
    <t>Dividend Income</t>
  </si>
  <si>
    <t>Impairment loss on property, plant and equipment</t>
  </si>
  <si>
    <t>Interest expenses</t>
  </si>
  <si>
    <t>Allowances for doubtful debts</t>
  </si>
  <si>
    <t>Operating profit before working Capital Changes</t>
  </si>
  <si>
    <t>Working Capital Changes;</t>
  </si>
  <si>
    <t>(Increase) in trade receivables</t>
  </si>
  <si>
    <t>(Increase) / Decrease in loans, other financial assets and other assets</t>
  </si>
  <si>
    <t>(Increase) in inventories</t>
  </si>
  <si>
    <t>Increase / (Decrease) in trade payable, other financial liabilities and other liabilities</t>
  </si>
  <si>
    <t>Increase in provisions</t>
  </si>
  <si>
    <t>Income taxes paid</t>
  </si>
  <si>
    <t>Cash Generated from operating Activities</t>
  </si>
  <si>
    <t>Cash flow from Investing Activities</t>
  </si>
  <si>
    <t>Purchases of property, plant and equipment</t>
  </si>
  <si>
    <t>Sale of property, plant and equipment</t>
  </si>
  <si>
    <t>Dividend received</t>
  </si>
  <si>
    <t>Interest received</t>
  </si>
  <si>
    <t>Cash Used in Investing Activities</t>
  </si>
  <si>
    <t>Cash Flow from Financing Activities</t>
  </si>
  <si>
    <t>Dividends paid</t>
  </si>
  <si>
    <t>Repayment of lease liabilities (net)</t>
  </si>
  <si>
    <t>Interest and bank charges paid</t>
  </si>
  <si>
    <t>Net Cash Generated from Financing Activites</t>
  </si>
  <si>
    <t>Net Changes in Cash &amp; Cash Equivalents</t>
  </si>
  <si>
    <t>Beginning of Cash Balance</t>
  </si>
  <si>
    <t>Foreign Exchange differences</t>
  </si>
  <si>
    <t>Ending of Cash Balance</t>
  </si>
  <si>
    <t>Proceeds from issue of compulsory convertible preferance shares</t>
  </si>
  <si>
    <t>Employee Stock Compensation Expenses</t>
  </si>
  <si>
    <t>Loss Allowance</t>
  </si>
  <si>
    <t xml:space="preserve">Investment made in bank deposits </t>
  </si>
  <si>
    <t>Investment in Associates</t>
  </si>
  <si>
    <t>Business Acquistion</t>
  </si>
  <si>
    <t>Proceeds from Minority interest</t>
  </si>
  <si>
    <t>Borrowings (net)</t>
  </si>
  <si>
    <t>%</t>
  </si>
  <si>
    <t>Total Operating Expenses</t>
  </si>
  <si>
    <t>Assumptions</t>
  </si>
  <si>
    <t>Employee Expenses as % of Sales</t>
  </si>
  <si>
    <t>Operating Expenses as % of Sales</t>
  </si>
  <si>
    <t>Tax Rate</t>
  </si>
  <si>
    <t>Base Case</t>
  </si>
  <si>
    <t>Bull Case</t>
  </si>
  <si>
    <t>Bear Case</t>
  </si>
  <si>
    <t>Sales Scenarios</t>
  </si>
  <si>
    <t>Growth</t>
  </si>
  <si>
    <t xml:space="preserve">Growth </t>
  </si>
  <si>
    <t>₹ in Million</t>
  </si>
  <si>
    <t>Scenario Slection</t>
  </si>
  <si>
    <t>Cost of Materials Consumed as % of Sales</t>
  </si>
  <si>
    <t>Purchases of stock in trade as % of Sales</t>
  </si>
  <si>
    <t>Changes in Inventory as % of Sales</t>
  </si>
  <si>
    <t>Total Dividend Paid</t>
  </si>
  <si>
    <t xml:space="preserve">Weighted average number of equity shares </t>
  </si>
  <si>
    <t xml:space="preserve">Dividend Pay Out Ratio </t>
  </si>
  <si>
    <t xml:space="preserve">Earning Per Share (Basic &amp; Diluted) </t>
  </si>
  <si>
    <t xml:space="preserve">Dividend Per Share </t>
  </si>
  <si>
    <t>in Millions</t>
  </si>
  <si>
    <t>Net Sales</t>
  </si>
  <si>
    <t>Capital Expenditures</t>
  </si>
  <si>
    <t>Beginning Net PP&amp;E</t>
  </si>
  <si>
    <t>(Depreciation Expense)</t>
  </si>
  <si>
    <t>(Asset Sales )</t>
  </si>
  <si>
    <t>Ending Net PP&amp;E</t>
  </si>
  <si>
    <t>Purchase of / Proceeds from sale of investments (net)</t>
  </si>
  <si>
    <t>Capital Expenditures as % of Sales</t>
  </si>
  <si>
    <t>CRISIL Assumption</t>
  </si>
  <si>
    <t xml:space="preserve">Crisil Ratings expects the revenue to grow by 8-10% annually, supported by new product launches and backed by price hikes undertaken across the product portfolio and its leadership position in key therapeutic areas. </t>
  </si>
  <si>
    <t>Capex &amp; Acqusition</t>
  </si>
  <si>
    <t>On February 13, 2026, Alkem, through its wholly owned subsidiary Alkem Medtech Pvt. Ltd., offered to acquire up to 55% stake in Occlutech Holding AG at an implied equity valuation of EUR 180.7 million (~Rs. 1,952 crore). The proposed acquisition would entail an estimated cash outflow of ~Rs. 1,100 crore and is proposed to be funded entirely through internal accruals and cash on hand. Crisil Ratings believes that with the proposed acquisition (~Rs 1,100 crore) and ongoing capex plans of ~Rs 700 crore, Alkem is expected to maintain comfortable liquidity and moderate leverage metrics, underpinned by its healthy cash generation from operations.</t>
  </si>
  <si>
    <t>Depreciation as % of Sales</t>
  </si>
  <si>
    <t>Total Debt</t>
  </si>
  <si>
    <t>Interest Rate</t>
  </si>
  <si>
    <t>Company</t>
  </si>
  <si>
    <t>Sun Pharma.Inds.</t>
  </si>
  <si>
    <t>Divi's Lab.</t>
  </si>
  <si>
    <t>Torrent Pharma.</t>
  </si>
  <si>
    <t>Zydus Lifesci.</t>
  </si>
  <si>
    <t>Cipla</t>
  </si>
  <si>
    <t>Laurus Labs</t>
  </si>
  <si>
    <t>Aurobindo Pharma</t>
  </si>
  <si>
    <t>Alkem Lab</t>
  </si>
  <si>
    <t>Ticker</t>
  </si>
  <si>
    <t xml:space="preserve">Debt </t>
  </si>
  <si>
    <t>₹ in Crore</t>
  </si>
  <si>
    <t>Market Cap</t>
  </si>
  <si>
    <t>Cash</t>
  </si>
  <si>
    <t>Net Income</t>
  </si>
  <si>
    <t xml:space="preserve">No.of Shares </t>
  </si>
  <si>
    <t>CMP in ₹</t>
  </si>
  <si>
    <t>SUNPHARMA</t>
  </si>
  <si>
    <t>ALKEM</t>
  </si>
  <si>
    <t>DIVISLAB</t>
  </si>
  <si>
    <t>TORNTPHARM</t>
  </si>
  <si>
    <t>ZUDUSLIFE</t>
  </si>
  <si>
    <t>CILPA</t>
  </si>
  <si>
    <t>LAURUSLABS</t>
  </si>
  <si>
    <t>AUROPHARMA</t>
  </si>
  <si>
    <t>Market Data</t>
  </si>
  <si>
    <t>Financial Data</t>
  </si>
  <si>
    <t>Valuation</t>
  </si>
  <si>
    <t>Shares</t>
  </si>
  <si>
    <t>Debt</t>
  </si>
  <si>
    <t>EV</t>
  </si>
  <si>
    <t>EV/Sales</t>
  </si>
  <si>
    <t>EV/EBITDA</t>
  </si>
  <si>
    <t>P/E</t>
  </si>
  <si>
    <t xml:space="preserve">Average </t>
  </si>
  <si>
    <t>Median</t>
  </si>
  <si>
    <t>Metric</t>
  </si>
  <si>
    <t>Net Debt</t>
  </si>
  <si>
    <t>Equity Value</t>
  </si>
  <si>
    <t>Share Price</t>
  </si>
  <si>
    <t>CMP</t>
  </si>
  <si>
    <t>Comparable Company Analysis</t>
  </si>
  <si>
    <t>Industry Median</t>
  </si>
  <si>
    <t>Except Share price in Crore</t>
  </si>
  <si>
    <t>Input Data</t>
  </si>
  <si>
    <t>Maket Cap</t>
  </si>
  <si>
    <t>Debt/Equity</t>
  </si>
  <si>
    <t>Debt/ Capital</t>
  </si>
  <si>
    <t>Levered Beta</t>
  </si>
  <si>
    <t>Unlevered Beta</t>
  </si>
  <si>
    <t>WACC Calculation</t>
  </si>
  <si>
    <t>Average</t>
  </si>
  <si>
    <t>WACC</t>
  </si>
  <si>
    <t>Proportion of Debt</t>
  </si>
  <si>
    <t>Proportion of Equity</t>
  </si>
  <si>
    <t>Debt / Equity</t>
  </si>
  <si>
    <t>Pre-Tax Cost of Debt</t>
  </si>
  <si>
    <t>After-Tax Cost of Debt</t>
  </si>
  <si>
    <t>Risk Free Rate</t>
  </si>
  <si>
    <t>Equity Market Return</t>
  </si>
  <si>
    <t>Equity Risk Premium</t>
  </si>
  <si>
    <t>Levered Equity Beta</t>
  </si>
  <si>
    <t>Cost of Equity</t>
  </si>
  <si>
    <t>Industry Mix</t>
  </si>
  <si>
    <t>Company Mix</t>
  </si>
  <si>
    <t>Cost of Debt</t>
  </si>
  <si>
    <t>Date</t>
  </si>
  <si>
    <t>Price</t>
  </si>
  <si>
    <t>Period in years</t>
  </si>
  <si>
    <t>Return %</t>
  </si>
  <si>
    <t>Opening Debt</t>
  </si>
  <si>
    <t>Ending Debt</t>
  </si>
  <si>
    <t xml:space="preserve">Interest Expenses </t>
  </si>
  <si>
    <t>(Repayments)</t>
  </si>
  <si>
    <t>Additons</t>
  </si>
  <si>
    <t>Long Term Debt</t>
  </si>
  <si>
    <t>Revolver Credit</t>
  </si>
  <si>
    <t>Current Maturities of Long term debt</t>
  </si>
  <si>
    <t>Total Short term debt</t>
  </si>
  <si>
    <t>Loan</t>
  </si>
  <si>
    <t>EQI</t>
  </si>
  <si>
    <t>Quaterly</t>
  </si>
  <si>
    <t>Transaction Date</t>
  </si>
  <si>
    <t>Fiscal Year End Date</t>
  </si>
  <si>
    <t>Growth Rate</t>
  </si>
  <si>
    <t>Discount Rate</t>
  </si>
  <si>
    <t>DCF Valuation</t>
  </si>
  <si>
    <t>Discounted Cash Flows</t>
  </si>
  <si>
    <t>Entry</t>
  </si>
  <si>
    <t>Exit</t>
  </si>
  <si>
    <t>Time Period</t>
  </si>
  <si>
    <t>Yearfrac.</t>
  </si>
  <si>
    <t>Terminal Value</t>
  </si>
  <si>
    <t>Perpetuity</t>
  </si>
  <si>
    <t>Less: Taxes</t>
  </si>
  <si>
    <t>NOPAT</t>
  </si>
  <si>
    <t>Add: Depreciation &amp; Amortization</t>
  </si>
  <si>
    <t>Less: Capex</t>
  </si>
  <si>
    <t>Free Cash Flow to Firm</t>
  </si>
  <si>
    <t>Less: Changes in Working Capital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</si>
  <si>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</si>
  <si>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</si>
  <si>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</si>
  <si>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</si>
  <si>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</si>
  <si>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</si>
  <si>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</si>
  <si>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</si>
  <si>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Less: Non-Controlling Interest</t>
  </si>
  <si>
    <t>Intrinsic Value per Share</t>
  </si>
  <si>
    <t>Sensex Index Data</t>
  </si>
  <si>
    <t xml:space="preserve">Upside Potential </t>
  </si>
  <si>
    <t>Sensitivity Analysis</t>
  </si>
  <si>
    <t>Exit Multiples</t>
  </si>
  <si>
    <t>Football Field Chart</t>
  </si>
  <si>
    <t>Foodball Field Data</t>
  </si>
  <si>
    <t>High</t>
  </si>
  <si>
    <t>Low</t>
  </si>
  <si>
    <t>Relative Valuation</t>
  </si>
  <si>
    <t>DCF</t>
  </si>
  <si>
    <t>52 Week High &amp; Low</t>
  </si>
  <si>
    <t>Other Consensus</t>
  </si>
  <si>
    <t>Valuation Summary</t>
  </si>
  <si>
    <t xml:space="preserve">₹ </t>
  </si>
  <si>
    <t>x</t>
  </si>
  <si>
    <t>Revenue Driver</t>
  </si>
  <si>
    <t>Costing</t>
  </si>
  <si>
    <t>Working Capital</t>
  </si>
  <si>
    <t>Depreciation &amp; Amortisation</t>
  </si>
  <si>
    <t>Ratios</t>
  </si>
  <si>
    <t>Gross Profit Margin</t>
  </si>
  <si>
    <t>EBITDA Margin</t>
  </si>
  <si>
    <t>EBIT Margin</t>
  </si>
  <si>
    <t>PAT Margin</t>
  </si>
  <si>
    <t>Current Ratio</t>
  </si>
  <si>
    <t>Quick Ratio</t>
  </si>
  <si>
    <t>Debt/Total Capital</t>
  </si>
  <si>
    <t>RoE</t>
  </si>
  <si>
    <t>RoCE</t>
  </si>
  <si>
    <t>RoA</t>
  </si>
  <si>
    <t>DuPont Analysis</t>
  </si>
  <si>
    <t>Times</t>
  </si>
  <si>
    <t>Net Profit Margin</t>
  </si>
  <si>
    <t>Asset Turnover</t>
  </si>
  <si>
    <t>Equity Multiplier</t>
  </si>
  <si>
    <t>Shares in crore</t>
  </si>
  <si>
    <t>Shares Outstanding (million)</t>
  </si>
  <si>
    <t>Perpectual Growth</t>
  </si>
  <si>
    <t>Annual Growth Tampering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</si>
</sst>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₹&quot;\ #,##0.00;[Red]&quot;₹&quot;\ \-#,##0.00"/>
    <numFmt numFmtId="43" formatCode="_ * #,##0.00_ ;_ * \-#,##0.00_ ;_ * &quot;-&quot;??_ ;_ @_ "/>
    <numFmt numFmtId="164" formatCode="#,##0;\ \(#,##0\)"/>
    <numFmt numFmtId="165" formatCode="_ * #,##0.0_ ;_ * \-#,##0.0_ ;_ * &quot;-&quot;??_ ;_ @_ "/>
    <numFmt numFmtId="166" formatCode="000;\(000\);&quot; &quot;"/>
    <numFmt numFmtId="167" formatCode="#,##0;\(#,##0\);&quot;0&quot;"/>
    <numFmt numFmtId="168" formatCode="_ * #,##0_ ;_ * \-#,##0_ ;_ * &quot;-&quot;??_ ;_ @_ "/>
    <numFmt numFmtId="169" formatCode="#,##0.0"/>
    <numFmt numFmtId="170" formatCode="0.0%"/>
    <numFmt numFmtId="171" formatCode="0.0"/>
    <numFmt numFmtId="172" formatCode="0.0000000000000000%"/>
    <numFmt numFmtId="173" formatCode="#,##0.0\x"/>
    <numFmt numFmtId="174" formatCode="0\A"/>
    <numFmt numFmtId="175" formatCode="0\F"/>
    <numFmt numFmtId="176" formatCode="0.00\x"/>
    <numFmt numFmtId="177" formatCode="#,##0.00\x"/>
  </numFmts>
  <fonts count="2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trike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0" applyFont="1"/>
    <xf numFmtId="8" fontId="6" fillId="3" borderId="0" xfId="0" applyNumberFormat="1" applyFont="1" applyFill="1" applyBorder="1"/>
    <xf numFmtId="0" fontId="9" fillId="0" borderId="1" xfId="0" applyFont="1" applyBorder="1"/>
    <xf numFmtId="0" fontId="9" fillId="0" borderId="4" xfId="0" applyFont="1" applyBorder="1"/>
    <xf numFmtId="9" fontId="4" fillId="3" borderId="0" xfId="1" applyFont="1" applyFill="1" applyBorder="1"/>
    <xf numFmtId="9" fontId="5" fillId="3" borderId="0" xfId="1" applyFont="1" applyFill="1" applyBorder="1"/>
    <xf numFmtId="0" fontId="5" fillId="3" borderId="0" xfId="0" applyFont="1" applyFill="1" applyBorder="1"/>
    <xf numFmtId="0" fontId="6" fillId="3" borderId="0" xfId="0" applyFont="1" applyFill="1" applyBorder="1"/>
    <xf numFmtId="9" fontId="6" fillId="3" borderId="0" xfId="1" applyFont="1" applyFill="1" applyBorder="1"/>
    <xf numFmtId="0" fontId="8" fillId="3" borderId="0" xfId="0" applyFont="1" applyFill="1" applyBorder="1"/>
    <xf numFmtId="9" fontId="3" fillId="0" borderId="0" xfId="1" applyFont="1" applyBorder="1"/>
    <xf numFmtId="0" fontId="3" fillId="0" borderId="0" xfId="0" applyFont="1" applyBorder="1"/>
    <xf numFmtId="4" fontId="3" fillId="0" borderId="0" xfId="0" applyNumberFormat="1" applyFont="1" applyBorder="1"/>
    <xf numFmtId="0" fontId="9" fillId="0" borderId="0" xfId="0" applyFont="1" applyBorder="1"/>
    <xf numFmtId="9" fontId="9" fillId="0" borderId="0" xfId="1" applyFont="1" applyBorder="1"/>
    <xf numFmtId="164" fontId="9" fillId="0" borderId="0" xfId="0" applyNumberFormat="1" applyFont="1" applyBorder="1"/>
    <xf numFmtId="164" fontId="3" fillId="0" borderId="0" xfId="0" applyNumberFormat="1" applyFont="1" applyBorder="1"/>
    <xf numFmtId="164" fontId="10" fillId="0" borderId="0" xfId="0" applyNumberFormat="1" applyFont="1" applyBorder="1"/>
    <xf numFmtId="164" fontId="11" fillId="0" borderId="0" xfId="0" applyNumberFormat="1" applyFont="1" applyBorder="1"/>
    <xf numFmtId="166" fontId="3" fillId="0" borderId="0" xfId="0" applyNumberFormat="1" applyFont="1" applyBorder="1"/>
    <xf numFmtId="167" fontId="3" fillId="0" borderId="0" xfId="0" applyNumberFormat="1" applyFont="1" applyBorder="1"/>
    <xf numFmtId="165" fontId="3" fillId="0" borderId="0" xfId="2" applyNumberFormat="1" applyFont="1" applyBorder="1"/>
    <xf numFmtId="168" fontId="3" fillId="0" borderId="0" xfId="2" applyNumberFormat="1" applyFont="1" applyBorder="1"/>
    <xf numFmtId="166" fontId="9" fillId="0" borderId="4" xfId="0" applyNumberFormat="1" applyFont="1" applyBorder="1"/>
    <xf numFmtId="168" fontId="9" fillId="0" borderId="4" xfId="2" applyNumberFormat="1" applyFont="1" applyBorder="1"/>
    <xf numFmtId="168" fontId="12" fillId="0" borderId="0" xfId="2" applyNumberFormat="1" applyFont="1" applyBorder="1"/>
    <xf numFmtId="165" fontId="11" fillId="0" borderId="0" xfId="2" applyNumberFormat="1" applyFont="1" applyBorder="1"/>
    <xf numFmtId="10" fontId="3" fillId="0" borderId="0" xfId="0" applyNumberFormat="1" applyFont="1" applyBorder="1"/>
    <xf numFmtId="10" fontId="3" fillId="0" borderId="0" xfId="0" applyNumberFormat="1" applyFont="1"/>
    <xf numFmtId="9" fontId="3" fillId="0" borderId="4" xfId="1" applyFont="1" applyBorder="1"/>
    <xf numFmtId="9" fontId="9" fillId="0" borderId="4" xfId="1" applyFont="1" applyBorder="1"/>
    <xf numFmtId="0" fontId="3" fillId="0" borderId="4" xfId="0" applyFont="1" applyBorder="1"/>
    <xf numFmtId="4" fontId="0" fillId="2" borderId="0" xfId="0" applyNumberFormat="1" applyFill="1"/>
    <xf numFmtId="0" fontId="0" fillId="2" borderId="0" xfId="0" applyFill="1" applyBorder="1"/>
    <xf numFmtId="10" fontId="9" fillId="0" borderId="0" xfId="0" applyNumberFormat="1" applyFont="1" applyBorder="1"/>
    <xf numFmtId="10" fontId="11" fillId="0" borderId="0" xfId="0" applyNumberFormat="1" applyFont="1"/>
    <xf numFmtId="10" fontId="11" fillId="0" borderId="0" xfId="0" applyNumberFormat="1" applyFont="1" applyBorder="1"/>
    <xf numFmtId="168" fontId="3" fillId="0" borderId="0" xfId="2" applyNumberFormat="1" applyFont="1"/>
    <xf numFmtId="168" fontId="12" fillId="0" borderId="0" xfId="2" applyNumberFormat="1" applyFont="1"/>
    <xf numFmtId="0" fontId="3" fillId="0" borderId="0" xfId="0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10" fontId="11" fillId="0" borderId="0" xfId="2" applyNumberFormat="1" applyFont="1"/>
    <xf numFmtId="168" fontId="14" fillId="0" borderId="0" xfId="2" applyNumberFormat="1" applyFont="1" applyBorder="1"/>
    <xf numFmtId="168" fontId="14" fillId="0" borderId="0" xfId="2" applyNumberFormat="1" applyFont="1"/>
    <xf numFmtId="3" fontId="13" fillId="0" borderId="0" xfId="0" applyNumberFormat="1" applyFont="1"/>
    <xf numFmtId="168" fontId="9" fillId="0" borderId="1" xfId="2" applyNumberFormat="1" applyFont="1" applyBorder="1"/>
    <xf numFmtId="168" fontId="9" fillId="0" borderId="0" xfId="2" applyNumberFormat="1" applyFont="1"/>
    <xf numFmtId="168" fontId="9" fillId="0" borderId="0" xfId="2" applyNumberFormat="1" applyFont="1" applyBorder="1"/>
    <xf numFmtId="164" fontId="3" fillId="0" borderId="0" xfId="2" applyNumberFormat="1" applyFont="1"/>
    <xf numFmtId="43" fontId="0" fillId="2" borderId="0" xfId="0" applyNumberFormat="1" applyFill="1"/>
    <xf numFmtId="9" fontId="9" fillId="0" borderId="1" xfId="1" applyFont="1" applyBorder="1"/>
    <xf numFmtId="0" fontId="3" fillId="0" borderId="1" xfId="0" applyFont="1" applyBorder="1"/>
    <xf numFmtId="164" fontId="9" fillId="0" borderId="1" xfId="0" applyNumberFormat="1" applyFont="1" applyBorder="1"/>
    <xf numFmtId="164" fontId="12" fillId="0" borderId="0" xfId="2" applyNumberFormat="1" applyFont="1"/>
    <xf numFmtId="0" fontId="3" fillId="0" borderId="0" xfId="0" applyFont="1" applyBorder="1" applyAlignment="1">
      <alignment wrapText="1"/>
    </xf>
    <xf numFmtId="168" fontId="11" fillId="0" borderId="0" xfId="2" applyNumberFormat="1" applyFont="1" applyBorder="1"/>
    <xf numFmtId="164" fontId="11" fillId="0" borderId="0" xfId="2" applyNumberFormat="1" applyFont="1" applyBorder="1"/>
    <xf numFmtId="164" fontId="3" fillId="0" borderId="0" xfId="2" applyNumberFormat="1" applyFont="1" applyBorder="1"/>
    <xf numFmtId="164" fontId="9" fillId="0" borderId="0" xfId="2" applyNumberFormat="1" applyFont="1" applyBorder="1"/>
    <xf numFmtId="164" fontId="9" fillId="0" borderId="4" xfId="2" applyNumberFormat="1" applyFont="1" applyBorder="1"/>
    <xf numFmtId="164" fontId="11" fillId="0" borderId="0" xfId="2" applyNumberFormat="1" applyFont="1"/>
    <xf numFmtId="0" fontId="9" fillId="4" borderId="0" xfId="0" applyFont="1" applyFill="1" applyBorder="1"/>
    <xf numFmtId="8" fontId="3" fillId="0" borderId="0" xfId="0" applyNumberFormat="1" applyFont="1" applyBorder="1"/>
    <xf numFmtId="165" fontId="3" fillId="0" borderId="0" xfId="2" applyNumberFormat="1" applyFont="1"/>
    <xf numFmtId="168" fontId="12" fillId="0" borderId="1" xfId="2" applyNumberFormat="1" applyFont="1" applyBorder="1"/>
    <xf numFmtId="165" fontId="10" fillId="0" borderId="1" xfId="2" applyNumberFormat="1" applyFont="1" applyBorder="1"/>
    <xf numFmtId="165" fontId="3" fillId="0" borderId="0" xfId="0" applyNumberFormat="1" applyFont="1" applyBorder="1"/>
    <xf numFmtId="3" fontId="3" fillId="0" borderId="0" xfId="0" applyNumberFormat="1" applyFont="1" applyBorder="1"/>
    <xf numFmtId="43" fontId="3" fillId="0" borderId="0" xfId="0" applyNumberFormat="1" applyFont="1"/>
    <xf numFmtId="165" fontId="3" fillId="0" borderId="0" xfId="0" applyNumberFormat="1" applyFont="1"/>
    <xf numFmtId="165" fontId="3" fillId="0" borderId="1" xfId="2" applyNumberFormat="1" applyFont="1" applyBorder="1"/>
    <xf numFmtId="9" fontId="3" fillId="0" borderId="1" xfId="1" applyFont="1" applyBorder="1"/>
    <xf numFmtId="10" fontId="3" fillId="0" borderId="1" xfId="0" applyNumberFormat="1" applyFont="1" applyBorder="1"/>
    <xf numFmtId="166" fontId="3" fillId="0" borderId="1" xfId="0" applyNumberFormat="1" applyFont="1" applyBorder="1"/>
    <xf numFmtId="164" fontId="12" fillId="0" borderId="0" xfId="0" applyNumberFormat="1" applyFont="1" applyBorder="1"/>
    <xf numFmtId="168" fontId="3" fillId="0" borderId="0" xfId="0" applyNumberFormat="1" applyFont="1" applyBorder="1"/>
    <xf numFmtId="0" fontId="17" fillId="0" borderId="0" xfId="0" applyFont="1" applyBorder="1"/>
    <xf numFmtId="0" fontId="18" fillId="0" borderId="0" xfId="0" applyFont="1" applyBorder="1"/>
    <xf numFmtId="0" fontId="3" fillId="0" borderId="0" xfId="0" applyFont="1" applyBorder="1" applyAlignment="1">
      <alignment vertical="top" wrapText="1"/>
    </xf>
    <xf numFmtId="168" fontId="3" fillId="0" borderId="0" xfId="0" applyNumberFormat="1" applyFont="1"/>
    <xf numFmtId="2" fontId="3" fillId="0" borderId="0" xfId="0" applyNumberFormat="1" applyFont="1" applyBorder="1"/>
    <xf numFmtId="10" fontId="19" fillId="0" borderId="0" xfId="0" applyNumberFormat="1" applyFont="1"/>
    <xf numFmtId="164" fontId="12" fillId="0" borderId="0" xfId="2" applyNumberFormat="1" applyFont="1" applyBorder="1"/>
    <xf numFmtId="168" fontId="13" fillId="0" borderId="0" xfId="2" applyNumberFormat="1" applyFont="1" applyBorder="1"/>
    <xf numFmtId="8" fontId="9" fillId="0" borderId="1" xfId="0" applyNumberFormat="1" applyFont="1" applyBorder="1"/>
    <xf numFmtId="168" fontId="13" fillId="0" borderId="0" xfId="2" applyNumberFormat="1" applyFont="1"/>
    <xf numFmtId="0" fontId="9" fillId="0" borderId="5" xfId="0" applyFont="1" applyBorder="1"/>
    <xf numFmtId="4" fontId="3" fillId="0" borderId="5" xfId="0" applyNumberFormat="1" applyFont="1" applyBorder="1"/>
    <xf numFmtId="0" fontId="3" fillId="0" borderId="5" xfId="0" applyFont="1" applyBorder="1"/>
    <xf numFmtId="0" fontId="9" fillId="0" borderId="5" xfId="0" applyFont="1" applyBorder="1" applyAlignment="1">
      <alignment horizontal="right"/>
    </xf>
    <xf numFmtId="4" fontId="9" fillId="0" borderId="5" xfId="0" applyNumberFormat="1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/>
    <xf numFmtId="0" fontId="9" fillId="4" borderId="6" xfId="0" applyFont="1" applyFill="1" applyBorder="1"/>
    <xf numFmtId="0" fontId="3" fillId="4" borderId="4" xfId="0" applyFont="1" applyFill="1" applyBorder="1"/>
    <xf numFmtId="0" fontId="3" fillId="4" borderId="7" xfId="0" applyFont="1" applyFill="1" applyBorder="1"/>
    <xf numFmtId="0" fontId="9" fillId="4" borderId="8" xfId="0" applyFont="1" applyFill="1" applyBorder="1"/>
    <xf numFmtId="0" fontId="3" fillId="4" borderId="1" xfId="0" applyFont="1" applyFill="1" applyBorder="1"/>
    <xf numFmtId="0" fontId="3" fillId="4" borderId="9" xfId="0" applyFont="1" applyFill="1" applyBorder="1"/>
    <xf numFmtId="169" fontId="3" fillId="0" borderId="5" xfId="0" applyNumberFormat="1" applyFont="1" applyBorder="1"/>
    <xf numFmtId="3" fontId="3" fillId="5" borderId="5" xfId="0" applyNumberFormat="1" applyFont="1" applyFill="1" applyBorder="1"/>
    <xf numFmtId="9" fontId="4" fillId="3" borderId="0" xfId="1" applyFont="1" applyFill="1" applyBorder="1" applyAlignment="1"/>
    <xf numFmtId="0" fontId="6" fillId="3" borderId="0" xfId="0" applyFont="1" applyFill="1" applyBorder="1" applyAlignment="1"/>
    <xf numFmtId="0" fontId="14" fillId="0" borderId="5" xfId="0" applyFont="1" applyBorder="1"/>
    <xf numFmtId="165" fontId="14" fillId="0" borderId="5" xfId="2" applyNumberFormat="1" applyFont="1" applyBorder="1"/>
    <xf numFmtId="165" fontId="14" fillId="0" borderId="6" xfId="2" applyNumberFormat="1" applyFont="1" applyBorder="1"/>
    <xf numFmtId="0" fontId="5" fillId="3" borderId="1" xfId="0" applyFont="1" applyFill="1" applyBorder="1" applyAlignment="1">
      <alignment horizontal="right"/>
    </xf>
    <xf numFmtId="9" fontId="20" fillId="3" borderId="0" xfId="1" applyFont="1" applyFill="1" applyBorder="1"/>
    <xf numFmtId="4" fontId="9" fillId="0" borderId="5" xfId="0" applyNumberFormat="1" applyFont="1" applyBorder="1"/>
    <xf numFmtId="10" fontId="3" fillId="0" borderId="5" xfId="0" applyNumberFormat="1" applyFont="1" applyBorder="1"/>
    <xf numFmtId="4" fontId="12" fillId="0" borderId="5" xfId="0" applyNumberFormat="1" applyFont="1" applyBorder="1"/>
    <xf numFmtId="2" fontId="3" fillId="0" borderId="5" xfId="0" applyNumberFormat="1" applyFont="1" applyBorder="1"/>
    <xf numFmtId="9" fontId="3" fillId="3" borderId="0" xfId="1" applyFont="1" applyFill="1" applyBorder="1"/>
    <xf numFmtId="0" fontId="9" fillId="0" borderId="6" xfId="0" applyFont="1" applyBorder="1"/>
    <xf numFmtId="0" fontId="7" fillId="3" borderId="1" xfId="0" applyFont="1" applyFill="1" applyBorder="1" applyAlignment="1"/>
    <xf numFmtId="0" fontId="12" fillId="0" borderId="0" xfId="0" applyFont="1" applyBorder="1"/>
    <xf numFmtId="10" fontId="12" fillId="0" borderId="0" xfId="0" applyNumberFormat="1" applyFont="1" applyBorder="1"/>
    <xf numFmtId="170" fontId="12" fillId="0" borderId="0" xfId="0" applyNumberFormat="1" applyFont="1" applyBorder="1"/>
    <xf numFmtId="9" fontId="20" fillId="3" borderId="0" xfId="1" applyFont="1" applyFill="1" applyBorder="1" applyAlignment="1">
      <alignment vertical="top"/>
    </xf>
    <xf numFmtId="14" fontId="3" fillId="0" borderId="0" xfId="0" applyNumberFormat="1" applyFont="1" applyBorder="1"/>
    <xf numFmtId="0" fontId="9" fillId="0" borderId="0" xfId="0" applyFont="1" applyBorder="1" applyAlignment="1">
      <alignment horizontal="right"/>
    </xf>
    <xf numFmtId="2" fontId="3" fillId="0" borderId="1" xfId="0" applyNumberFormat="1" applyFont="1" applyBorder="1"/>
    <xf numFmtId="10" fontId="9" fillId="0" borderId="7" xfId="0" applyNumberFormat="1" applyFont="1" applyBorder="1"/>
    <xf numFmtId="0" fontId="3" fillId="0" borderId="0" xfId="0" applyFont="1" applyBorder="1" applyAlignment="1"/>
    <xf numFmtId="9" fontId="3" fillId="0" borderId="0" xfId="1" applyFont="1" applyBorder="1" applyAlignment="1"/>
    <xf numFmtId="168" fontId="12" fillId="0" borderId="0" xfId="2" applyNumberFormat="1" applyFont="1" applyBorder="1" applyAlignment="1"/>
    <xf numFmtId="168" fontId="14" fillId="0" borderId="0" xfId="2" applyNumberFormat="1" applyFont="1" applyBorder="1" applyAlignment="1"/>
    <xf numFmtId="0" fontId="0" fillId="2" borderId="0" xfId="0" applyFill="1" applyAlignment="1"/>
    <xf numFmtId="168" fontId="0" fillId="2" borderId="0" xfId="0" applyNumberFormat="1" applyFill="1"/>
    <xf numFmtId="168" fontId="9" fillId="0" borderId="9" xfId="2" applyNumberFormat="1" applyFont="1" applyBorder="1"/>
    <xf numFmtId="9" fontId="18" fillId="0" borderId="0" xfId="1" applyFont="1" applyBorder="1"/>
    <xf numFmtId="0" fontId="3" fillId="0" borderId="0" xfId="0" applyFont="1" applyBorder="1" applyAlignment="1">
      <alignment horizontal="left" indent="1"/>
    </xf>
    <xf numFmtId="3" fontId="3" fillId="0" borderId="0" xfId="0" applyNumberFormat="1" applyFont="1"/>
    <xf numFmtId="0" fontId="14" fillId="0" borderId="0" xfId="0" applyFont="1" applyBorder="1"/>
    <xf numFmtId="3" fontId="11" fillId="0" borderId="0" xfId="0" applyNumberFormat="1" applyFont="1" applyBorder="1"/>
    <xf numFmtId="0" fontId="3" fillId="2" borderId="0" xfId="0" applyFont="1" applyFill="1"/>
    <xf numFmtId="164" fontId="3" fillId="0" borderId="0" xfId="0" applyNumberFormat="1" applyFont="1"/>
    <xf numFmtId="43" fontId="3" fillId="0" borderId="0" xfId="2" applyNumberFormat="1" applyFont="1"/>
    <xf numFmtId="0" fontId="9" fillId="0" borderId="5" xfId="0" applyFont="1" applyBorder="1" applyAlignment="1">
      <alignment horizontal="left" indent="1"/>
    </xf>
    <xf numFmtId="43" fontId="3" fillId="0" borderId="5" xfId="2" applyNumberFormat="1" applyFont="1" applyBorder="1"/>
    <xf numFmtId="171" fontId="9" fillId="4" borderId="0" xfId="0" applyNumberFormat="1" applyFont="1" applyFill="1" applyBorder="1"/>
    <xf numFmtId="170" fontId="9" fillId="4" borderId="0" xfId="0" applyNumberFormat="1" applyFont="1" applyFill="1" applyBorder="1"/>
    <xf numFmtId="0" fontId="9" fillId="0" borderId="4" xfId="0" applyFont="1" applyBorder="1" applyAlignment="1">
      <alignment vertical="top"/>
    </xf>
    <xf numFmtId="10" fontId="9" fillId="4" borderId="5" xfId="0" applyNumberFormat="1" applyFont="1" applyFill="1" applyBorder="1"/>
    <xf numFmtId="2" fontId="9" fillId="4" borderId="5" xfId="0" applyNumberFormat="1" applyFont="1" applyFill="1" applyBorder="1"/>
    <xf numFmtId="172" fontId="3" fillId="0" borderId="0" xfId="0" applyNumberFormat="1" applyFont="1" applyBorder="1"/>
    <xf numFmtId="43" fontId="12" fillId="0" borderId="0" xfId="2" applyFont="1" applyBorder="1"/>
    <xf numFmtId="10" fontId="12" fillId="0" borderId="0" xfId="2" applyNumberFormat="1" applyFont="1" applyBorder="1"/>
    <xf numFmtId="15" fontId="11" fillId="0" borderId="0" xfId="0" applyNumberFormat="1" applyFont="1" applyBorder="1"/>
    <xf numFmtId="14" fontId="3" fillId="0" borderId="0" xfId="0" applyNumberFormat="1" applyFont="1"/>
    <xf numFmtId="0" fontId="9" fillId="0" borderId="0" xfId="0" applyFont="1"/>
    <xf numFmtId="164" fontId="3" fillId="0" borderId="1" xfId="2" applyNumberFormat="1" applyFont="1" applyBorder="1"/>
    <xf numFmtId="168" fontId="9" fillId="0" borderId="0" xfId="0" applyNumberFormat="1" applyFont="1" applyBorder="1"/>
    <xf numFmtId="43" fontId="3" fillId="0" borderId="0" xfId="0" applyNumberFormat="1" applyFont="1" applyBorder="1"/>
    <xf numFmtId="43" fontId="9" fillId="0" borderId="0" xfId="0" applyNumberFormat="1" applyFont="1" applyBorder="1"/>
    <xf numFmtId="171" fontId="3" fillId="0" borderId="0" xfId="0" applyNumberFormat="1" applyFont="1"/>
    <xf numFmtId="164" fontId="12" fillId="0" borderId="1" xfId="2" applyNumberFormat="1" applyFont="1" applyBorder="1"/>
    <xf numFmtId="0" fontId="9" fillId="0" borderId="0" xfId="0" applyFont="1" applyBorder="1" applyAlignment="1">
      <alignment horizontal="centerContinuous"/>
    </xf>
    <xf numFmtId="0" fontId="9" fillId="6" borderId="0" xfId="0" applyFont="1" applyFill="1" applyBorder="1" applyAlignment="1">
      <alignment horizontal="centerContinuous"/>
    </xf>
    <xf numFmtId="0" fontId="9" fillId="6" borderId="0" xfId="0" applyFont="1" applyFill="1" applyAlignment="1">
      <alignment horizontal="centerContinuous"/>
    </xf>
    <xf numFmtId="9" fontId="21" fillId="6" borderId="0" xfId="1" applyFont="1" applyFill="1" applyBorder="1"/>
    <xf numFmtId="0" fontId="3" fillId="6" borderId="0" xfId="0" applyFont="1" applyFill="1" applyBorder="1"/>
    <xf numFmtId="173" fontId="12" fillId="0" borderId="0" xfId="2" applyNumberFormat="1" applyFont="1" applyBorder="1"/>
    <xf numFmtId="43" fontId="3" fillId="0" borderId="1" xfId="0" applyNumberFormat="1" applyFont="1" applyBorder="1"/>
    <xf numFmtId="173" fontId="3" fillId="0" borderId="0" xfId="0" applyNumberFormat="1" applyFont="1"/>
    <xf numFmtId="14" fontId="3" fillId="0" borderId="5" xfId="0" applyNumberFormat="1" applyFont="1" applyBorder="1"/>
    <xf numFmtId="165" fontId="3" fillId="0" borderId="5" xfId="2" applyNumberFormat="1" applyFont="1" applyBorder="1"/>
    <xf numFmtId="14" fontId="18" fillId="6" borderId="0" xfId="0" applyNumberFormat="1" applyFont="1" applyFill="1" applyBorder="1"/>
    <xf numFmtId="9" fontId="3" fillId="6" borderId="0" xfId="1" applyFont="1" applyFill="1" applyBorder="1"/>
    <xf numFmtId="0" fontId="9" fillId="6" borderId="0" xfId="0" applyFont="1" applyFill="1" applyBorder="1" applyAlignment="1">
      <alignment horizontal="right"/>
    </xf>
    <xf numFmtId="4" fontId="3" fillId="6" borderId="0" xfId="0" applyNumberFormat="1" applyFont="1" applyFill="1" applyBorder="1"/>
    <xf numFmtId="14" fontId="3" fillId="6" borderId="0" xfId="0" applyNumberFormat="1" applyFont="1" applyFill="1" applyBorder="1"/>
    <xf numFmtId="0" fontId="0" fillId="6" borderId="0" xfId="0" applyFill="1"/>
    <xf numFmtId="0" fontId="9" fillId="6" borderId="0" xfId="0" applyFont="1" applyFill="1" applyBorder="1"/>
    <xf numFmtId="0" fontId="6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Continuous" vertical="justify" shrinkToFit="1"/>
    </xf>
    <xf numFmtId="0" fontId="3" fillId="0" borderId="0" xfId="0" applyFont="1" applyBorder="1" applyAlignment="1">
      <alignment textRotation="180"/>
    </xf>
    <xf numFmtId="171" fontId="3" fillId="0" borderId="0" xfId="0" applyNumberFormat="1" applyFont="1" applyBorder="1"/>
    <xf numFmtId="171" fontId="3" fillId="0" borderId="0" xfId="0" applyNumberFormat="1" applyFont="1" applyAlignment="1">
      <alignment horizontal="centerContinuous" vertical="justify" shrinkToFit="1"/>
    </xf>
    <xf numFmtId="0" fontId="3" fillId="6" borderId="0" xfId="0" applyFont="1" applyFill="1"/>
    <xf numFmtId="168" fontId="13" fillId="0" borderId="1" xfId="2" applyNumberFormat="1" applyFont="1" applyBorder="1"/>
    <xf numFmtId="3" fontId="12" fillId="0" borderId="0" xfId="0" applyNumberFormat="1" applyFont="1"/>
    <xf numFmtId="174" fontId="8" fillId="3" borderId="0" xfId="0" applyNumberFormat="1" applyFont="1" applyFill="1" applyBorder="1" applyAlignment="1"/>
    <xf numFmtId="175" fontId="8" fillId="3" borderId="1" xfId="0" applyNumberFormat="1" applyFont="1" applyFill="1" applyBorder="1" applyAlignment="1"/>
    <xf numFmtId="170" fontId="3" fillId="0" borderId="0" xfId="1" applyNumberFormat="1" applyFont="1" applyBorder="1"/>
    <xf numFmtId="176" fontId="3" fillId="0" borderId="0" xfId="0" applyNumberFormat="1" applyFont="1" applyBorder="1"/>
    <xf numFmtId="176" fontId="3" fillId="0" borderId="0" xfId="0" applyNumberFormat="1" applyFont="1"/>
    <xf numFmtId="10" fontId="14" fillId="0" borderId="0" xfId="0" applyNumberFormat="1" applyFont="1" applyBorder="1"/>
    <xf numFmtId="10" fontId="9" fillId="0" borderId="1" xfId="0" applyNumberFormat="1" applyFont="1" applyBorder="1"/>
    <xf numFmtId="173" fontId="9" fillId="0" borderId="0" xfId="0" applyNumberFormat="1" applyFont="1"/>
    <xf numFmtId="165" fontId="3" fillId="0" borderId="11" xfId="2" applyNumberFormat="1" applyFont="1" applyBorder="1"/>
    <xf numFmtId="165" fontId="3" fillId="0" borderId="12" xfId="2" applyNumberFormat="1" applyFont="1" applyBorder="1"/>
    <xf numFmtId="165" fontId="3" fillId="0" borderId="10" xfId="2" applyNumberFormat="1" applyFont="1" applyBorder="1"/>
    <xf numFmtId="165" fontId="3" fillId="6" borderId="0" xfId="2" applyNumberFormat="1" applyFont="1" applyFill="1" applyBorder="1"/>
    <xf numFmtId="10" fontId="9" fillId="0" borderId="0" xfId="0" applyNumberFormat="1" applyFont="1"/>
    <xf numFmtId="177" fontId="9" fillId="4" borderId="5" xfId="0" applyNumberFormat="1" applyFont="1" applyFill="1" applyBorder="1"/>
    <xf numFmtId="177" fontId="14" fillId="0" borderId="5" xfId="2" applyNumberFormat="1" applyFont="1" applyBorder="1"/>
    <xf numFmtId="165" fontId="3" fillId="2" borderId="0" xfId="2" applyNumberFormat="1" applyFont="1" applyFill="1" applyBorder="1"/>
    <xf numFmtId="0" fontId="9" fillId="0" borderId="0" xfId="0" applyFont="1" applyAlignment="1">
      <alignment horizontal="centerContinuous"/>
    </xf>
    <xf numFmtId="0" fontId="3" fillId="0" borderId="0" xfId="0" applyFont="1" applyAlignment="1">
      <alignment wrapText="1"/>
    </xf>
    <xf numFmtId="0" fontId="9" fillId="0" borderId="0" xfId="0" applyNumberFormat="1" applyFont="1" applyBorder="1" applyAlignment="1">
      <alignment horizontal="right" textRotation="180"/>
    </xf>
    <xf numFmtId="168" fontId="9" fillId="0" borderId="0" xfId="0" applyNumberFormat="1" applyFont="1"/>
    <xf numFmtId="168" fontId="12" fillId="0" borderId="0" xfId="0" applyNumberFormat="1" applyFont="1" applyBorder="1"/>
    <xf numFmtId="168" fontId="14" fillId="5" borderId="0" xfId="2" applyNumberFormat="1" applyFont="1" applyFill="1" applyBorder="1"/>
    <xf numFmtId="165" fontId="3" fillId="0" borderId="4" xfId="2" applyNumberFormat="1" applyFont="1" applyBorder="1"/>
    <xf numFmtId="0" fontId="9" fillId="0" borderId="1" xfId="0" applyFont="1" applyBorder="1" applyAlignment="1">
      <alignment horizontal="right"/>
    </xf>
    <xf numFmtId="166" fontId="3" fillId="0" borderId="4" xfId="0" applyNumberFormat="1" applyFont="1" applyBorder="1"/>
    <xf numFmtId="165" fontId="11" fillId="0" borderId="4" xfId="2" applyNumberFormat="1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left" vertical="top" wrapText="1"/>
    </xf>
    <xf numFmtId="0" fontId="9" fillId="0" borderId="0" xfId="0" applyNumberFormat="1" applyFont="1" applyBorder="1" applyAlignment="1">
      <alignment horizontal="right" textRotation="180"/>
    </xf>
    <xf numFmtId="0" fontId="9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Football Field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Summary!$D$5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Summary!$E$4:$H$4</c:f>
              <c:strCache>
                <c:ptCount val="4"/>
                <c:pt idx="0">
                  <c:v>Relative Valuation</c:v>
                </c:pt>
                <c:pt idx="1">
                  <c:v>DCF</c:v>
                </c:pt>
                <c:pt idx="2">
                  <c:v>52 Week High &amp; Low</c:v>
                </c:pt>
                <c:pt idx="3">
                  <c:v>Other Consensus</c:v>
                </c:pt>
              </c:strCache>
            </c:strRef>
          </c:cat>
          <c:val>
            <c:numRef>
              <c:f>Summary!$E$5:$H$5</c:f>
              <c:numCache>
                <c:formatCode>_ * #,##0.0_ ;_ * \-#,##0.0_ ;_ * "-"??_ ;_ @_ </c:formatCode>
                <c:ptCount val="4"/>
                <c:pt idx="0">
                  <c:v>6331.1478331512699</c:v>
                </c:pt>
                <c:pt idx="1">
                  <c:v>7513.1</c:v>
                </c:pt>
                <c:pt idx="2">
                  <c:v>5933.5</c:v>
                </c:pt>
                <c:pt idx="3">
                  <c:v>6850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1-429C-8777-B0486E16AAB8}"/>
            </c:ext>
          </c:extLst>
        </c:ser>
        <c:ser>
          <c:idx val="1"/>
          <c:order val="1"/>
          <c:tx>
            <c:strRef>
              <c:f>Summary!$D$6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Summary!$E$4:$H$4</c:f>
              <c:strCache>
                <c:ptCount val="4"/>
                <c:pt idx="0">
                  <c:v>Relative Valuation</c:v>
                </c:pt>
                <c:pt idx="1">
                  <c:v>DCF</c:v>
                </c:pt>
                <c:pt idx="2">
                  <c:v>52 Week High &amp; Low</c:v>
                </c:pt>
                <c:pt idx="3">
                  <c:v>Other Consensus</c:v>
                </c:pt>
              </c:strCache>
            </c:strRef>
          </c:cat>
          <c:val>
            <c:numRef>
              <c:f>Summary!$E$6:$H$6</c:f>
              <c:numCache>
                <c:formatCode>_ * #,##0.0_ ;_ * \-#,##0.0_ ;_ * "-"??_ ;_ @_ </c:formatCode>
                <c:ptCount val="4"/>
                <c:pt idx="0">
                  <c:v>6331.1478331512699</c:v>
                </c:pt>
                <c:pt idx="1">
                  <c:v>7513.1</c:v>
                </c:pt>
                <c:pt idx="2">
                  <c:v>5933.5</c:v>
                </c:pt>
                <c:pt idx="3">
                  <c:v>6850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1-429C-8777-B0486E16AAB8}"/>
            </c:ext>
          </c:extLst>
        </c:ser>
        <c:ser>
          <c:idx val="2"/>
          <c:order val="2"/>
          <c:tx>
            <c:strRef>
              <c:f>Summary!$D$7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Summary!$E$4:$H$4</c:f>
              <c:strCache>
                <c:ptCount val="4"/>
                <c:pt idx="0">
                  <c:v>Relative Valuation</c:v>
                </c:pt>
                <c:pt idx="1">
                  <c:v>DCF</c:v>
                </c:pt>
                <c:pt idx="2">
                  <c:v>52 Week High &amp; Low</c:v>
                </c:pt>
                <c:pt idx="3">
                  <c:v>Other Consensus</c:v>
                </c:pt>
              </c:strCache>
            </c:strRef>
          </c:cat>
          <c:val>
            <c:numRef>
              <c:f>Summary!$E$7:$H$7</c:f>
              <c:numCache>
                <c:formatCode>_ * #,##0.0_ ;_ * \-#,##0.0_ ;_ * "-"??_ ;_ @_ </c:formatCode>
                <c:ptCount val="4"/>
                <c:pt idx="0">
                  <c:v>5959.8309474489706</c:v>
                </c:pt>
                <c:pt idx="1">
                  <c:v>5253.75</c:v>
                </c:pt>
                <c:pt idx="2">
                  <c:v>5051</c:v>
                </c:pt>
                <c:pt idx="3">
                  <c:v>4590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B1-429C-8777-B0486E16A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31787440"/>
        <c:axId val="521554880"/>
      </c:stockChart>
      <c:stockChart>
        <c:ser>
          <c:idx val="3"/>
          <c:order val="3"/>
          <c:tx>
            <c:strRef>
              <c:f>Summary!$D$8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Summary!$E$4:$H$4</c:f>
              <c:strCache>
                <c:ptCount val="4"/>
                <c:pt idx="0">
                  <c:v>Relative Valuation</c:v>
                </c:pt>
                <c:pt idx="1">
                  <c:v>DCF</c:v>
                </c:pt>
                <c:pt idx="2">
                  <c:v>52 Week High &amp; Low</c:v>
                </c:pt>
                <c:pt idx="3">
                  <c:v>Other Consensus</c:v>
                </c:pt>
              </c:strCache>
            </c:strRef>
          </c:cat>
          <c:val>
            <c:numRef>
              <c:f>Summary!$E$8:$H$8</c:f>
              <c:numCache>
                <c:formatCode>_ * #,##0.0_ ;_ * \-#,##0.0_ ;_ * "-"??_ ;_ @_ </c:formatCode>
                <c:ptCount val="4"/>
                <c:pt idx="0">
                  <c:v>6233.9851909033723</c:v>
                </c:pt>
                <c:pt idx="1">
                  <c:v>5253.75</c:v>
                </c:pt>
                <c:pt idx="2">
                  <c:v>5051</c:v>
                </c:pt>
                <c:pt idx="3">
                  <c:v>4590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1-429C-8777-B0486E16A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787440"/>
        <c:axId val="521554880"/>
      </c:stockChart>
      <c:catAx>
        <c:axId val="53178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1">
              <a:lumMod val="40000"/>
              <a:lumOff val="6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alpha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54880"/>
        <c:crosses val="autoZero"/>
        <c:auto val="0"/>
        <c:lblAlgn val="ctr"/>
        <c:lblOffset val="100"/>
        <c:noMultiLvlLbl val="0"/>
      </c:catAx>
      <c:valAx>
        <c:axId val="521554880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8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rgbClr val="92D050"/>
        </a:gs>
        <a:gs pos="73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ustomXml" Target="../ink/ink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84667</xdr:colOff>
      <xdr:row>29</xdr:row>
      <xdr:rowOff>135467</xdr:rowOff>
    </xdr:from>
    <xdr:to>
      <xdr:col>20</xdr:col>
      <xdr:colOff>379506</xdr:colOff>
      <xdr:row>39</xdr:row>
      <xdr:rowOff>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4E6CB-66F3-4E9E-831C-3C0E6072C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5067" y="5672667"/>
          <a:ext cx="2301439" cy="1676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7621</xdr:colOff>
      <xdr:row>38</xdr:row>
      <xdr:rowOff>0</xdr:rowOff>
    </xdr:from>
    <xdr:to>
      <xdr:col>24</xdr:col>
      <xdr:colOff>548640</xdr:colOff>
      <xdr:row>45</xdr:row>
      <xdr:rowOff>68697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2D43E2-B4A9-45C0-88B5-2DA4DCB40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5961" y="7086600"/>
          <a:ext cx="5288279" cy="1348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1</xdr:row>
      <xdr:rowOff>30480</xdr:rowOff>
    </xdr:from>
    <xdr:to>
      <xdr:col>21</xdr:col>
      <xdr:colOff>624840</xdr:colOff>
      <xdr:row>21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2A688A-0423-4F87-B887-DB125E308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784620</xdr:colOff>
      <xdr:row>16</xdr:row>
      <xdr:rowOff>159900</xdr:rowOff>
    </xdr:from>
    <xdr:to>
      <xdr:col>6</xdr:col>
      <xdr:colOff>784980</xdr:colOff>
      <xdr:row>16</xdr:row>
      <xdr:rowOff>160260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98B2688-6356-466A-B205-9E5374BE10D3}"/>
                </a:ext>
              </a:extLst>
            </xdr14:cNvPr>
            <xdr14:cNvContentPartPr/>
          </xdr14:nvContentPartPr>
          <xdr14:nvPr macro=""/>
          <xdr14:xfrm>
            <a:off x="3093480" y="32155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98B2688-6356-466A-B205-9E5374BE10D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075840" y="3107520"/>
              <a:ext cx="36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586740</xdr:colOff>
      <xdr:row>13</xdr:row>
      <xdr:rowOff>160020</xdr:rowOff>
    </xdr:from>
    <xdr:to>
      <xdr:col>21</xdr:col>
      <xdr:colOff>457200</xdr:colOff>
      <xdr:row>13</xdr:row>
      <xdr:rowOff>167640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75C990D-611E-4032-A7AA-C1920B284A88}"/>
            </a:ext>
          </a:extLst>
        </xdr:cNvPr>
        <xdr:cNvCxnSpPr/>
      </xdr:nvCxnSpPr>
      <xdr:spPr>
        <a:xfrm>
          <a:off x="5295900" y="2667000"/>
          <a:ext cx="7917180" cy="7620"/>
        </a:xfrm>
        <a:prstGeom prst="line">
          <a:avLst/>
        </a:prstGeom>
        <a:ln w="28575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594360</xdr:colOff>
      <xdr:row>12</xdr:row>
      <xdr:rowOff>137160</xdr:rowOff>
    </xdr:from>
    <xdr:to>
      <xdr:col>11</xdr:col>
      <xdr:colOff>53340</xdr:colOff>
      <xdr:row>13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353B3C5-CB74-4A37-943B-CD88184C1A86}"/>
            </a:ext>
          </a:extLst>
        </xdr:cNvPr>
        <xdr:cNvSpPr txBox="1"/>
      </xdr:nvSpPr>
      <xdr:spPr>
        <a:xfrm>
          <a:off x="5303520" y="2461260"/>
          <a:ext cx="80010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CMP-5089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7T12:12:12.335"/>
    </inkml:context>
    <inkml:brush xml:id="br0">
      <inkml:brushProperty name="width" value="0.1" units="cm"/>
      <inkml:brushProperty name="height" value="0.6" units="cm"/>
      <inkml:brushProperty name="color" value="#F6630D"/>
      <inkml:brushProperty name="ignorePressure" value="1"/>
      <inkml:brushProperty name="inkEffects" value="pencil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4DE7-D5F6-463D-8AA1-47E98DC25027}">
  <dimension ref="A1:V43"/>
  <sheetViews>
    <sheetView showGridLines="0" tabSelected="1" zoomScale="90" zoomScaleNormal="90" workbookViewId="0">
      <pane xSplit="7" ySplit="3" topLeftCell="H4" activePane="bottomRight" state="frozen"/>
      <selection activeCell="S21" sqref="S21"/>
      <selection pane="topRight" activeCell="S21" sqref="S21"/>
      <selection pane="bottomLeft" activeCell="S21" sqref="S21"/>
      <selection pane="bottomRight" activeCell="S12" sqref="S12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12" width="8" style="14" bestFit="1" customWidth="1"/>
    <col min="13" max="17" width="8.796875" style="3" bestFit="1" customWidth="1"/>
    <col min="18" max="16384" width="8.796875" style="1"/>
  </cols>
  <sheetData>
    <row r="1" spans="1:22" ht="25.05" customHeight="1" thickBot="1" x14ac:dyDescent="0.65">
      <c r="A1" s="7" t="s">
        <v>4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22" s="2" customFormat="1" ht="16.0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22" x14ac:dyDescent="0.3">
      <c r="C3" s="16" t="s">
        <v>5</v>
      </c>
      <c r="F3" s="14" t="s">
        <v>70</v>
      </c>
      <c r="H3" s="20">
        <v>106341.9</v>
      </c>
      <c r="I3" s="20">
        <v>115992.6</v>
      </c>
      <c r="J3" s="20">
        <v>126675.8</v>
      </c>
      <c r="K3" s="20">
        <v>129645.2</v>
      </c>
      <c r="L3" s="20">
        <v>147122.70000000001</v>
      </c>
      <c r="M3" s="47">
        <f>'Revenue Assumptions'!M3</f>
        <v>159668.78050815934</v>
      </c>
      <c r="N3" s="47">
        <f>'Revenue Assumptions'!N3</f>
        <v>172331.62695301345</v>
      </c>
      <c r="O3" s="47">
        <f>'Revenue Assumptions'!O3</f>
        <v>185042.02843638504</v>
      </c>
      <c r="P3" s="47">
        <f>'Revenue Assumptions'!P3</f>
        <v>197734.54122876772</v>
      </c>
      <c r="Q3" s="47">
        <f>'Revenue Assumptions'!Q3</f>
        <v>210348.24764012784</v>
      </c>
    </row>
    <row r="4" spans="1:22" x14ac:dyDescent="0.3">
      <c r="D4" s="14" t="s">
        <v>6</v>
      </c>
      <c r="F4" s="14" t="s">
        <v>70</v>
      </c>
      <c r="H4" s="21">
        <v>-32260.6</v>
      </c>
      <c r="I4" s="21">
        <v>-30569.200000000001</v>
      </c>
      <c r="J4" s="21">
        <v>-32945.9</v>
      </c>
      <c r="K4" s="21">
        <v>-34403.699999999997</v>
      </c>
      <c r="L4" s="21">
        <v>-35653.9</v>
      </c>
      <c r="M4" s="56">
        <f>-'Cost Assumptions'!M4</f>
        <v>-38320.507321958241</v>
      </c>
      <c r="N4" s="56">
        <f>-'Cost Assumptions'!N4</f>
        <v>-41359.590468723225</v>
      </c>
      <c r="O4" s="56">
        <f>-'Cost Assumptions'!O4</f>
        <v>-44410.086824732411</v>
      </c>
      <c r="P4" s="56">
        <f>-'Cost Assumptions'!P4</f>
        <v>-47456.28989490425</v>
      </c>
      <c r="Q4" s="56">
        <f>-'Cost Assumptions'!Q4</f>
        <v>-50483.579433630679</v>
      </c>
    </row>
    <row r="5" spans="1:22" x14ac:dyDescent="0.3">
      <c r="D5" s="14" t="s">
        <v>7</v>
      </c>
      <c r="F5" s="14" t="s">
        <v>70</v>
      </c>
      <c r="H5" s="21">
        <v>-14897.1</v>
      </c>
      <c r="I5" s="21">
        <v>-13875.5</v>
      </c>
      <c r="J5" s="21">
        <v>-16288.7</v>
      </c>
      <c r="K5" s="21">
        <v>-15140.2</v>
      </c>
      <c r="L5" s="21">
        <v>-16945.5</v>
      </c>
      <c r="M5" s="56">
        <f>-'Cost Assumptions'!M5</f>
        <v>-19160.25366097912</v>
      </c>
      <c r="N5" s="56">
        <f>-'Cost Assumptions'!N5</f>
        <v>-20679.795234361613</v>
      </c>
      <c r="O5" s="56">
        <f>-'Cost Assumptions'!O5</f>
        <v>-22205.043412366205</v>
      </c>
      <c r="P5" s="56">
        <f>-'Cost Assumptions'!P5</f>
        <v>-23728.144947452125</v>
      </c>
      <c r="Q5" s="56">
        <f>-'Cost Assumptions'!Q5</f>
        <v>-25241.789716815339</v>
      </c>
    </row>
    <row r="6" spans="1:22" x14ac:dyDescent="0.3">
      <c r="D6" s="14" t="s">
        <v>8</v>
      </c>
      <c r="F6" s="14" t="s">
        <v>70</v>
      </c>
      <c r="H6" s="21">
        <v>5354.8</v>
      </c>
      <c r="I6" s="21">
        <v>-4623.7</v>
      </c>
      <c r="J6" s="21">
        <v>-141.19999999999999</v>
      </c>
      <c r="K6" s="21">
        <v>1901.3</v>
      </c>
      <c r="L6" s="21">
        <v>1671.2</v>
      </c>
      <c r="M6" s="56">
        <f>-'Cost Assumptions'!M6</f>
        <v>-1437.0190245734339</v>
      </c>
      <c r="N6" s="56">
        <f>-'Cost Assumptions'!N6</f>
        <v>-1550.9846425771209</v>
      </c>
      <c r="O6" s="56">
        <f>-'Cost Assumptions'!O6</f>
        <v>-1665.3782559274653</v>
      </c>
      <c r="P6" s="56">
        <f>-'Cost Assumptions'!P6</f>
        <v>-1779.6108710589094</v>
      </c>
      <c r="Q6" s="56">
        <f>-'Cost Assumptions'!Q6</f>
        <v>-1893.1342287611503</v>
      </c>
    </row>
    <row r="7" spans="1:22" x14ac:dyDescent="0.3">
      <c r="D7" s="13" t="s">
        <v>79</v>
      </c>
      <c r="F7" s="14" t="s">
        <v>70</v>
      </c>
      <c r="H7" s="19">
        <f>SUM(H4:H6)</f>
        <v>-41802.899999999994</v>
      </c>
      <c r="I7" s="19">
        <f t="shared" ref="I7:Q7" si="1">SUM(I4:I6)</f>
        <v>-49068.399999999994</v>
      </c>
      <c r="J7" s="19">
        <f t="shared" si="1"/>
        <v>-49375.8</v>
      </c>
      <c r="K7" s="19">
        <f t="shared" si="1"/>
        <v>-47642.599999999991</v>
      </c>
      <c r="L7" s="19">
        <f t="shared" si="1"/>
        <v>-50928.200000000004</v>
      </c>
      <c r="M7" s="51">
        <f t="shared" si="1"/>
        <v>-58917.780007510795</v>
      </c>
      <c r="N7" s="51">
        <f t="shared" si="1"/>
        <v>-63590.370345661955</v>
      </c>
      <c r="O7" s="51">
        <f t="shared" si="1"/>
        <v>-68280.508493026078</v>
      </c>
      <c r="P7" s="51">
        <f t="shared" si="1"/>
        <v>-72964.045713415282</v>
      </c>
      <c r="Q7" s="51">
        <f t="shared" si="1"/>
        <v>-77618.503379207163</v>
      </c>
    </row>
    <row r="8" spans="1:22" x14ac:dyDescent="0.3">
      <c r="C8" s="53" t="s">
        <v>9</v>
      </c>
      <c r="D8" s="5"/>
      <c r="E8" s="5"/>
      <c r="F8" s="54" t="s">
        <v>70</v>
      </c>
      <c r="G8" s="5"/>
      <c r="H8" s="55">
        <f>SUM(H3,H7)</f>
        <v>64539</v>
      </c>
      <c r="I8" s="55">
        <f t="shared" ref="I8:Q8" si="2">SUM(I3,I7)</f>
        <v>66924.200000000012</v>
      </c>
      <c r="J8" s="55">
        <f t="shared" si="2"/>
        <v>77300</v>
      </c>
      <c r="K8" s="55">
        <f t="shared" si="2"/>
        <v>82002.600000000006</v>
      </c>
      <c r="L8" s="55">
        <f t="shared" si="2"/>
        <v>96194.5</v>
      </c>
      <c r="M8" s="48">
        <f t="shared" si="2"/>
        <v>100751.00050064854</v>
      </c>
      <c r="N8" s="48">
        <f t="shared" si="2"/>
        <v>108741.25660735149</v>
      </c>
      <c r="O8" s="48">
        <f t="shared" si="2"/>
        <v>116761.51994335896</v>
      </c>
      <c r="P8" s="48">
        <f t="shared" si="2"/>
        <v>124770.49551535244</v>
      </c>
      <c r="Q8" s="48">
        <f t="shared" si="2"/>
        <v>132729.74426092068</v>
      </c>
    </row>
    <row r="9" spans="1:22" x14ac:dyDescent="0.3">
      <c r="D9" s="14" t="s">
        <v>10</v>
      </c>
      <c r="F9" s="14" t="s">
        <v>70</v>
      </c>
      <c r="H9" s="21">
        <v>-19627.099999999999</v>
      </c>
      <c r="I9" s="21">
        <v>-21313.5</v>
      </c>
      <c r="J9" s="21">
        <v>-22010.1</v>
      </c>
      <c r="K9" s="21">
        <v>-24539.200000000001</v>
      </c>
      <c r="L9" s="21">
        <v>-28371.1</v>
      </c>
      <c r="M9" s="56">
        <f>-'Cost Assumptions'!M8</f>
        <v>-30337.068296550275</v>
      </c>
      <c r="N9" s="56">
        <f>-'Cost Assumptions'!N8</f>
        <v>-32743.009121072555</v>
      </c>
      <c r="O9" s="56">
        <f>-'Cost Assumptions'!O8</f>
        <v>-35157.98540291316</v>
      </c>
      <c r="P9" s="56">
        <f>-'Cost Assumptions'!P8</f>
        <v>-37569.562833465869</v>
      </c>
      <c r="Q9" s="56">
        <f>-'Cost Assumptions'!Q8</f>
        <v>-39966.167051624288</v>
      </c>
    </row>
    <row r="10" spans="1:22" x14ac:dyDescent="0.3">
      <c r="D10" s="14" t="s">
        <v>11</v>
      </c>
      <c r="F10" s="14" t="s">
        <v>70</v>
      </c>
      <c r="H10" s="21">
        <v>-24382.7</v>
      </c>
      <c r="I10" s="21">
        <v>-29516.2</v>
      </c>
      <c r="J10" s="21">
        <v>-32835</v>
      </c>
      <c r="K10" s="21">
        <v>-32341.9</v>
      </c>
      <c r="L10" s="21">
        <v>-37771.800000000003</v>
      </c>
      <c r="M10" s="56">
        <f>-'Cost Assumptions'!M9</f>
        <v>-39917.195127039835</v>
      </c>
      <c r="N10" s="56">
        <f>-'Cost Assumptions'!N9</f>
        <v>-43082.906738253361</v>
      </c>
      <c r="O10" s="56">
        <f>-'Cost Assumptions'!O9</f>
        <v>-46260.507109096259</v>
      </c>
      <c r="P10" s="56">
        <f>-'Cost Assumptions'!P9</f>
        <v>-49433.635307191929</v>
      </c>
      <c r="Q10" s="56">
        <f>-'Cost Assumptions'!Q9</f>
        <v>-52587.06191003196</v>
      </c>
    </row>
    <row r="11" spans="1:22" x14ac:dyDescent="0.3">
      <c r="C11" s="53" t="s">
        <v>12</v>
      </c>
      <c r="D11" s="5"/>
      <c r="E11" s="5"/>
      <c r="F11" s="54" t="s">
        <v>70</v>
      </c>
      <c r="G11" s="5"/>
      <c r="H11" s="55">
        <f>SUM(H8:H10)</f>
        <v>20529.2</v>
      </c>
      <c r="I11" s="55">
        <f t="shared" ref="I11:Q11" si="3">SUM(I8:I10)</f>
        <v>16094.500000000011</v>
      </c>
      <c r="J11" s="55">
        <f t="shared" si="3"/>
        <v>22454.9</v>
      </c>
      <c r="K11" s="55">
        <f t="shared" si="3"/>
        <v>25121.500000000007</v>
      </c>
      <c r="L11" s="55">
        <f t="shared" si="3"/>
        <v>30051.599999999991</v>
      </c>
      <c r="M11" s="48">
        <f t="shared" si="3"/>
        <v>30496.737077058431</v>
      </c>
      <c r="N11" s="48">
        <f t="shared" si="3"/>
        <v>32915.340748025577</v>
      </c>
      <c r="O11" s="48">
        <f t="shared" si="3"/>
        <v>35343.027431349547</v>
      </c>
      <c r="P11" s="48">
        <f t="shared" si="3"/>
        <v>37767.297374694637</v>
      </c>
      <c r="Q11" s="48">
        <f t="shared" si="3"/>
        <v>40176.515299264429</v>
      </c>
      <c r="R11" s="52"/>
      <c r="S11" s="52"/>
      <c r="T11" s="52"/>
      <c r="U11" s="52"/>
      <c r="V11" s="52"/>
    </row>
    <row r="12" spans="1:22" x14ac:dyDescent="0.3">
      <c r="D12" s="14" t="s">
        <v>13</v>
      </c>
      <c r="F12" s="14" t="s">
        <v>70</v>
      </c>
      <c r="H12" s="21">
        <v>-3039.6</v>
      </c>
      <c r="I12" s="21">
        <v>-3104.2</v>
      </c>
      <c r="J12" s="21">
        <v>-2993</v>
      </c>
      <c r="K12" s="21">
        <v>-3571.6</v>
      </c>
      <c r="L12" s="21">
        <v>-3820.6</v>
      </c>
      <c r="M12" s="56">
        <f>'Depreciation &amp; Amortisation'!M9</f>
        <v>-4146.4066579084911</v>
      </c>
      <c r="N12" s="56">
        <f>'Depreciation &amp; Amortisation'!N9</f>
        <v>-4475.245587096234</v>
      </c>
      <c r="O12" s="56">
        <f>'Depreciation &amp; Amortisation'!O9</f>
        <v>-4805.3194635773589</v>
      </c>
      <c r="P12" s="56">
        <f>'Depreciation &amp; Amortisation'!P9</f>
        <v>-5134.9287922164958</v>
      </c>
      <c r="Q12" s="56">
        <f>'Depreciation &amp; Amortisation'!Q9</f>
        <v>-5462.4916136930087</v>
      </c>
    </row>
    <row r="13" spans="1:22" x14ac:dyDescent="0.3">
      <c r="C13" s="53" t="s">
        <v>14</v>
      </c>
      <c r="D13" s="5"/>
      <c r="E13" s="5"/>
      <c r="F13" s="54" t="s">
        <v>70</v>
      </c>
      <c r="G13" s="5"/>
      <c r="H13" s="55">
        <f>SUM(H11:H12)</f>
        <v>17489.600000000002</v>
      </c>
      <c r="I13" s="55">
        <f t="shared" ref="I13:Q13" si="4">SUM(I11:I12)</f>
        <v>12990.30000000001</v>
      </c>
      <c r="J13" s="55">
        <f t="shared" si="4"/>
        <v>19461.900000000001</v>
      </c>
      <c r="K13" s="55">
        <f t="shared" si="4"/>
        <v>21549.900000000009</v>
      </c>
      <c r="L13" s="55">
        <f t="shared" si="4"/>
        <v>26230.999999999993</v>
      </c>
      <c r="M13" s="48">
        <f t="shared" si="4"/>
        <v>26350.330419149941</v>
      </c>
      <c r="N13" s="48">
        <f t="shared" si="4"/>
        <v>28440.095160929344</v>
      </c>
      <c r="O13" s="48">
        <f t="shared" si="4"/>
        <v>30537.707967772189</v>
      </c>
      <c r="P13" s="48">
        <f t="shared" si="4"/>
        <v>32632.368582478142</v>
      </c>
      <c r="Q13" s="48">
        <f t="shared" si="4"/>
        <v>34714.023685571417</v>
      </c>
    </row>
    <row r="14" spans="1:22" x14ac:dyDescent="0.3">
      <c r="D14" s="13" t="s">
        <v>16</v>
      </c>
      <c r="F14" s="14" t="s">
        <v>70</v>
      </c>
      <c r="H14" s="21">
        <v>-523.70000000000005</v>
      </c>
      <c r="I14" s="21">
        <v>-1073.5999999999999</v>
      </c>
      <c r="J14" s="21">
        <v>-1124.0999999999999</v>
      </c>
      <c r="K14" s="21">
        <v>-1217</v>
      </c>
      <c r="L14" s="21">
        <v>-1607.8</v>
      </c>
      <c r="M14" s="56">
        <f>Debt!M8</f>
        <v>-1461.1499999999999</v>
      </c>
      <c r="N14" s="56">
        <f>Debt!N8</f>
        <v>-1431</v>
      </c>
      <c r="O14" s="56">
        <f>Debt!O8</f>
        <v>-1333.5777</v>
      </c>
      <c r="P14" s="56">
        <f>Debt!P8</f>
        <v>-1236.1554000000001</v>
      </c>
      <c r="Q14" s="56">
        <f>Debt!Q8</f>
        <v>-1159.3044000000002</v>
      </c>
    </row>
    <row r="15" spans="1:22" x14ac:dyDescent="0.3">
      <c r="D15" s="13" t="s">
        <v>15</v>
      </c>
      <c r="F15" s="14" t="s">
        <v>70</v>
      </c>
      <c r="H15" s="21">
        <v>1626.5</v>
      </c>
      <c r="I15" s="21">
        <v>2160.8000000000002</v>
      </c>
      <c r="J15" s="21">
        <v>3108.4</v>
      </c>
      <c r="K15" s="21">
        <v>4937.3999999999996</v>
      </c>
      <c r="L15" s="21">
        <v>5833.5</v>
      </c>
      <c r="M15" s="40">
        <f>L15</f>
        <v>5833.5</v>
      </c>
      <c r="N15" s="40">
        <f>M15</f>
        <v>5833.5</v>
      </c>
      <c r="O15" s="40">
        <f>N15</f>
        <v>5833.5</v>
      </c>
      <c r="P15" s="40">
        <f>O15</f>
        <v>5833.5</v>
      </c>
      <c r="Q15" s="40">
        <f>P15</f>
        <v>5833.5</v>
      </c>
    </row>
    <row r="16" spans="1:22" x14ac:dyDescent="0.3">
      <c r="D16" s="13" t="s">
        <v>17</v>
      </c>
      <c r="F16" s="14" t="s">
        <v>70</v>
      </c>
      <c r="H16" s="19">
        <f>SUM(H13:H15)</f>
        <v>18592.400000000001</v>
      </c>
      <c r="I16" s="19">
        <f t="shared" ref="I16:Q16" si="5">SUM(I13:I15)</f>
        <v>14077.500000000011</v>
      </c>
      <c r="J16" s="19">
        <f t="shared" si="5"/>
        <v>21446.200000000004</v>
      </c>
      <c r="K16" s="19">
        <f t="shared" si="5"/>
        <v>25270.30000000001</v>
      </c>
      <c r="L16" s="19">
        <f t="shared" si="5"/>
        <v>30456.699999999993</v>
      </c>
      <c r="M16" s="40">
        <f t="shared" si="5"/>
        <v>30722.68041914994</v>
      </c>
      <c r="N16" s="40">
        <f t="shared" si="5"/>
        <v>32842.595160929341</v>
      </c>
      <c r="O16" s="40">
        <f t="shared" si="5"/>
        <v>35037.630267772183</v>
      </c>
      <c r="P16" s="40">
        <f t="shared" si="5"/>
        <v>37229.713182478139</v>
      </c>
      <c r="Q16" s="40">
        <f t="shared" si="5"/>
        <v>39388.219285571417</v>
      </c>
    </row>
    <row r="17" spans="1:17" x14ac:dyDescent="0.3">
      <c r="D17" s="13" t="s">
        <v>18</v>
      </c>
      <c r="F17" s="14" t="s">
        <v>70</v>
      </c>
      <c r="H17" s="21">
        <v>-149.6</v>
      </c>
      <c r="I17" s="21">
        <v>-1029.8</v>
      </c>
      <c r="J17" s="21">
        <v>-1214.9000000000001</v>
      </c>
      <c r="K17" s="21">
        <v>0</v>
      </c>
      <c r="L17" s="21">
        <v>-1748.3</v>
      </c>
      <c r="M17" s="40">
        <v>0</v>
      </c>
      <c r="N17" s="40">
        <f>0</f>
        <v>0</v>
      </c>
      <c r="O17" s="40">
        <f>0</f>
        <v>0</v>
      </c>
      <c r="P17" s="40">
        <f>0</f>
        <v>0</v>
      </c>
      <c r="Q17" s="40">
        <f>0</f>
        <v>0</v>
      </c>
    </row>
    <row r="18" spans="1:17" x14ac:dyDescent="0.3">
      <c r="C18" s="17" t="s">
        <v>19</v>
      </c>
      <c r="D18" s="16"/>
      <c r="E18" s="16"/>
      <c r="F18" s="14" t="s">
        <v>70</v>
      </c>
      <c r="G18" s="16"/>
      <c r="H18" s="18">
        <f>SUM(H16:H17)</f>
        <v>18442.800000000003</v>
      </c>
      <c r="I18" s="18">
        <f t="shared" ref="I18:Q18" si="6">SUM(I16:I17)</f>
        <v>13047.700000000012</v>
      </c>
      <c r="J18" s="18">
        <f t="shared" si="6"/>
        <v>20231.300000000003</v>
      </c>
      <c r="K18" s="18">
        <f t="shared" si="6"/>
        <v>25270.30000000001</v>
      </c>
      <c r="L18" s="18">
        <f t="shared" si="6"/>
        <v>28708.399999999994</v>
      </c>
      <c r="M18" s="49">
        <f t="shared" si="6"/>
        <v>30722.68041914994</v>
      </c>
      <c r="N18" s="49">
        <f t="shared" si="6"/>
        <v>32842.595160929341</v>
      </c>
      <c r="O18" s="49">
        <f t="shared" si="6"/>
        <v>35037.630267772183</v>
      </c>
      <c r="P18" s="49">
        <f t="shared" si="6"/>
        <v>37229.713182478139</v>
      </c>
      <c r="Q18" s="49">
        <f t="shared" si="6"/>
        <v>39388.219285571417</v>
      </c>
    </row>
    <row r="19" spans="1:17" x14ac:dyDescent="0.3">
      <c r="D19" s="14" t="s">
        <v>20</v>
      </c>
      <c r="F19" s="14" t="s">
        <v>70</v>
      </c>
      <c r="H19" s="21">
        <v>-3619.8</v>
      </c>
      <c r="I19" s="21">
        <v>-2739</v>
      </c>
      <c r="J19" s="21">
        <v>-4222.8</v>
      </c>
      <c r="K19" s="21">
        <v>-5236</v>
      </c>
      <c r="L19" s="21">
        <v>-6196.6</v>
      </c>
      <c r="M19" s="51">
        <f>-M18*M31</f>
        <v>-9524.0309299364817</v>
      </c>
      <c r="N19" s="51">
        <f>-N18*N31</f>
        <v>-10181.204499888096</v>
      </c>
      <c r="O19" s="51">
        <f>-O18*O31</f>
        <v>-10511.289080331655</v>
      </c>
      <c r="P19" s="51">
        <f>-P18*P31</f>
        <v>-10796.616822918659</v>
      </c>
      <c r="Q19" s="51">
        <f>-Q18*Q31</f>
        <v>-11028.701399959999</v>
      </c>
    </row>
    <row r="20" spans="1:17" x14ac:dyDescent="0.3">
      <c r="D20" s="14" t="s">
        <v>21</v>
      </c>
      <c r="F20" s="14" t="s">
        <v>70</v>
      </c>
      <c r="H20" s="21">
        <v>1980.2</v>
      </c>
      <c r="I20" s="21">
        <v>-240.6</v>
      </c>
      <c r="J20" s="21">
        <v>2106.1</v>
      </c>
      <c r="K20" s="21">
        <v>2125.6999999999998</v>
      </c>
      <c r="L20" s="21">
        <v>1019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</row>
    <row r="21" spans="1:17" x14ac:dyDescent="0.3">
      <c r="D21" s="14" t="s">
        <v>75</v>
      </c>
      <c r="F21" s="14" t="s">
        <v>70</v>
      </c>
      <c r="H21" s="21">
        <v>0</v>
      </c>
      <c r="I21" s="21">
        <v>0</v>
      </c>
      <c r="J21" s="21">
        <v>0</v>
      </c>
      <c r="K21" s="21">
        <v>-6.2</v>
      </c>
      <c r="L21" s="21">
        <v>-19.7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</row>
    <row r="22" spans="1:17" x14ac:dyDescent="0.3">
      <c r="C22" s="53" t="s">
        <v>22</v>
      </c>
      <c r="D22" s="5"/>
      <c r="E22" s="5"/>
      <c r="F22" s="54" t="s">
        <v>70</v>
      </c>
      <c r="G22" s="5"/>
      <c r="H22" s="55">
        <f>SUM(H18:H21)</f>
        <v>16803.200000000004</v>
      </c>
      <c r="I22" s="55">
        <f t="shared" ref="I22:Q22" si="7">SUM(I18:I21)</f>
        <v>10068.100000000011</v>
      </c>
      <c r="J22" s="55">
        <f t="shared" si="7"/>
        <v>18114.600000000002</v>
      </c>
      <c r="K22" s="55">
        <f t="shared" si="7"/>
        <v>22153.80000000001</v>
      </c>
      <c r="L22" s="55">
        <f t="shared" si="7"/>
        <v>23511.099999999995</v>
      </c>
      <c r="M22" s="48">
        <f t="shared" si="7"/>
        <v>21198.649489213458</v>
      </c>
      <c r="N22" s="48">
        <f t="shared" si="7"/>
        <v>22661.390661041245</v>
      </c>
      <c r="O22" s="48">
        <f t="shared" si="7"/>
        <v>24526.341187440528</v>
      </c>
      <c r="P22" s="48">
        <f t="shared" si="7"/>
        <v>26433.09635955948</v>
      </c>
      <c r="Q22" s="48">
        <f t="shared" si="7"/>
        <v>28359.517885611418</v>
      </c>
    </row>
    <row r="23" spans="1:17" x14ac:dyDescent="0.3">
      <c r="D23" s="14" t="s">
        <v>27</v>
      </c>
      <c r="F23" s="14" t="s">
        <v>70</v>
      </c>
      <c r="H23" s="21">
        <v>347</v>
      </c>
      <c r="I23" s="21">
        <v>226.4</v>
      </c>
      <c r="J23" s="21">
        <v>156.9</v>
      </c>
      <c r="K23" s="21">
        <v>499</v>
      </c>
      <c r="L23" s="21">
        <v>493.6</v>
      </c>
      <c r="M23" s="40">
        <f>L23</f>
        <v>493.6</v>
      </c>
      <c r="N23" s="40">
        <f>M23</f>
        <v>493.6</v>
      </c>
      <c r="O23" s="40">
        <f>N23</f>
        <v>493.6</v>
      </c>
      <c r="P23" s="40">
        <f>O23</f>
        <v>493.6</v>
      </c>
      <c r="Q23" s="40">
        <f>P23</f>
        <v>493.6</v>
      </c>
    </row>
    <row r="24" spans="1:17" x14ac:dyDescent="0.3">
      <c r="D24" s="14" t="s">
        <v>24</v>
      </c>
      <c r="F24" s="14" t="s">
        <v>70</v>
      </c>
      <c r="H24" s="21">
        <v>16456.2</v>
      </c>
      <c r="I24" s="21">
        <v>9841.7000000000007</v>
      </c>
      <c r="J24" s="21">
        <v>17957.7</v>
      </c>
      <c r="K24" s="21">
        <v>21654.799999999999</v>
      </c>
      <c r="L24" s="21">
        <v>23018</v>
      </c>
      <c r="M24" s="40">
        <f>M22-M23</f>
        <v>20705.049489213459</v>
      </c>
      <c r="N24" s="40">
        <f>N22-N23</f>
        <v>22167.790661041246</v>
      </c>
      <c r="O24" s="40">
        <f>O22-O23</f>
        <v>24032.74118744053</v>
      </c>
      <c r="P24" s="40">
        <f>P22-P23</f>
        <v>25939.496359559482</v>
      </c>
      <c r="Q24" s="40">
        <f>Q22-Q23</f>
        <v>27865.917885611419</v>
      </c>
    </row>
    <row r="25" spans="1:17" x14ac:dyDescent="0.3">
      <c r="D25" s="14" t="s">
        <v>26</v>
      </c>
      <c r="F25" s="14" t="s">
        <v>70</v>
      </c>
      <c r="H25" s="21">
        <v>341.4</v>
      </c>
      <c r="I25" s="21">
        <v>1149</v>
      </c>
      <c r="J25" s="21">
        <v>200.4</v>
      </c>
      <c r="K25" s="21">
        <v>197.2</v>
      </c>
      <c r="L25" s="21">
        <v>1837.9</v>
      </c>
      <c r="M25" s="40">
        <f>L25</f>
        <v>1837.9</v>
      </c>
      <c r="N25" s="40">
        <f>M25</f>
        <v>1837.9</v>
      </c>
      <c r="O25" s="40">
        <f>N25</f>
        <v>1837.9</v>
      </c>
      <c r="P25" s="40">
        <f>O25</f>
        <v>1837.9</v>
      </c>
      <c r="Q25" s="40">
        <f>P25</f>
        <v>1837.9</v>
      </c>
    </row>
    <row r="26" spans="1:17" x14ac:dyDescent="0.3">
      <c r="D26" s="16" t="s">
        <v>25</v>
      </c>
      <c r="E26" s="16"/>
      <c r="F26" s="14" t="s">
        <v>70</v>
      </c>
      <c r="G26" s="16"/>
      <c r="H26" s="18">
        <f>SUM(H23:H25)</f>
        <v>17144.600000000002</v>
      </c>
      <c r="I26" s="18">
        <f t="shared" ref="I26:Q26" si="8">SUM(I23:I25)</f>
        <v>11217.1</v>
      </c>
      <c r="J26" s="18">
        <f t="shared" si="8"/>
        <v>18315.000000000004</v>
      </c>
      <c r="K26" s="18">
        <f t="shared" si="8"/>
        <v>22351</v>
      </c>
      <c r="L26" s="18">
        <f t="shared" si="8"/>
        <v>25349.5</v>
      </c>
      <c r="M26" s="50">
        <f t="shared" si="8"/>
        <v>23036.549489213459</v>
      </c>
      <c r="N26" s="50">
        <f t="shared" si="8"/>
        <v>24499.290661041246</v>
      </c>
      <c r="O26" s="50">
        <f t="shared" si="8"/>
        <v>26364.24118744053</v>
      </c>
      <c r="P26" s="50">
        <f t="shared" si="8"/>
        <v>28270.996359559482</v>
      </c>
      <c r="Q26" s="50">
        <f t="shared" si="8"/>
        <v>30197.417885611419</v>
      </c>
    </row>
    <row r="27" spans="1:17" x14ac:dyDescent="0.3">
      <c r="D27" s="14" t="s">
        <v>23</v>
      </c>
      <c r="F27" s="14" t="s">
        <v>70</v>
      </c>
      <c r="H27" s="21">
        <v>342.9</v>
      </c>
      <c r="I27" s="21">
        <v>222.3</v>
      </c>
      <c r="J27" s="21">
        <v>150.80000000000001</v>
      </c>
      <c r="K27" s="21">
        <v>488.7</v>
      </c>
      <c r="L27" s="21">
        <v>507.7</v>
      </c>
      <c r="M27" s="40">
        <f>L27</f>
        <v>507.7</v>
      </c>
      <c r="N27" s="40">
        <f>M27</f>
        <v>507.7</v>
      </c>
      <c r="O27" s="40">
        <f>N27</f>
        <v>507.7</v>
      </c>
      <c r="P27" s="40">
        <f>O27</f>
        <v>507.7</v>
      </c>
      <c r="Q27" s="40">
        <f>P27</f>
        <v>507.7</v>
      </c>
    </row>
    <row r="28" spans="1:17" x14ac:dyDescent="0.3">
      <c r="D28" s="14" t="s">
        <v>24</v>
      </c>
      <c r="F28" s="14" t="s">
        <v>70</v>
      </c>
      <c r="H28" s="21">
        <v>16801.7</v>
      </c>
      <c r="I28" s="21">
        <v>10994.8</v>
      </c>
      <c r="J28" s="21">
        <v>18164.2</v>
      </c>
      <c r="K28" s="21">
        <v>21862.3</v>
      </c>
      <c r="L28" s="21">
        <v>24841.8</v>
      </c>
      <c r="M28" s="40">
        <f>M26-M27</f>
        <v>22528.849489213459</v>
      </c>
      <c r="N28" s="40">
        <f>N26-N27</f>
        <v>23991.590661041246</v>
      </c>
      <c r="O28" s="40">
        <f>O26-O27</f>
        <v>25856.541187440529</v>
      </c>
      <c r="P28" s="40">
        <f>P26-P27</f>
        <v>27763.296359559481</v>
      </c>
      <c r="Q28" s="40">
        <f>Q26-Q27</f>
        <v>29689.717885611419</v>
      </c>
    </row>
    <row r="29" spans="1:17" x14ac:dyDescent="0.3">
      <c r="C29" s="5" t="s">
        <v>28</v>
      </c>
      <c r="D29" s="54"/>
      <c r="E29" s="5"/>
      <c r="F29" s="5" t="s">
        <v>298</v>
      </c>
      <c r="G29" s="5"/>
      <c r="H29" s="68">
        <v>137.63</v>
      </c>
      <c r="I29" s="68">
        <v>82.31</v>
      </c>
      <c r="J29" s="68">
        <v>150.19</v>
      </c>
      <c r="K29" s="68">
        <v>181.11</v>
      </c>
      <c r="L29" s="68">
        <v>192.51</v>
      </c>
      <c r="M29" s="73">
        <f>M34</f>
        <v>173.1698196730938</v>
      </c>
      <c r="N29" s="73">
        <f>N34</f>
        <v>185.40367717175801</v>
      </c>
      <c r="O29" s="73">
        <f>O34</f>
        <v>201.00147357036366</v>
      </c>
      <c r="P29" s="73">
        <f>P34</f>
        <v>216.94890945978742</v>
      </c>
      <c r="Q29" s="73">
        <f>Q34</f>
        <v>233.06082788116439</v>
      </c>
    </row>
    <row r="31" spans="1:17" x14ac:dyDescent="0.3">
      <c r="D31" s="14" t="s">
        <v>142</v>
      </c>
      <c r="F31" s="14" t="s">
        <v>137</v>
      </c>
      <c r="H31" s="30">
        <f>-SUM(H19:H20)/H18</f>
        <v>8.8901902097295413E-2</v>
      </c>
      <c r="I31" s="30">
        <f>-SUM(I19:I20)/I18</f>
        <v>0.22836208680457071</v>
      </c>
      <c r="J31" s="30">
        <f>-SUM(J19:J20)/J18</f>
        <v>0.10462501173923573</v>
      </c>
      <c r="K31" s="30">
        <f>-SUM(K19:K20)/K18</f>
        <v>0.12308124557286614</v>
      </c>
      <c r="L31" s="30">
        <f>-SUM(L19:L20)/L18</f>
        <v>0.18035139541040257</v>
      </c>
      <c r="M31" s="30">
        <v>0.31</v>
      </c>
      <c r="N31" s="30">
        <f>M31</f>
        <v>0.31</v>
      </c>
      <c r="O31" s="30">
        <v>0.3</v>
      </c>
      <c r="P31" s="30">
        <v>0.28999999999999998</v>
      </c>
      <c r="Q31" s="30">
        <v>0.28000000000000003</v>
      </c>
    </row>
    <row r="32" spans="1:17" s="131" customFormat="1" ht="12.6" customHeight="1" x14ac:dyDescent="0.3">
      <c r="A32" s="128"/>
      <c r="B32" s="128"/>
      <c r="C32" s="128"/>
      <c r="D32" s="127" t="s">
        <v>154</v>
      </c>
      <c r="E32" s="127"/>
      <c r="F32" s="127" t="s">
        <v>70</v>
      </c>
      <c r="G32" s="127"/>
      <c r="H32" s="129">
        <f>-'Cash Flow Statement'!H42</f>
        <v>4219.1000000000004</v>
      </c>
      <c r="I32" s="129">
        <f>-'Cash Flow Statement'!I42</f>
        <v>5295.2</v>
      </c>
      <c r="J32" s="129">
        <f>-'Cash Flow Statement'!J42</f>
        <v>5404.9</v>
      </c>
      <c r="K32" s="129">
        <f>-'Cash Flow Statement'!K42</f>
        <v>5046.2</v>
      </c>
      <c r="L32" s="129">
        <f>-'Cash Flow Statement'!L42</f>
        <v>6137</v>
      </c>
      <c r="M32" s="130">
        <f>M22*M36</f>
        <v>5299.6623723033645</v>
      </c>
      <c r="N32" s="130">
        <f>N22*N36</f>
        <v>5665.3476652603113</v>
      </c>
      <c r="O32" s="130">
        <f>O22*O36</f>
        <v>6131.5852968601321</v>
      </c>
      <c r="P32" s="130">
        <f>P22*P36</f>
        <v>6608.2740898898701</v>
      </c>
      <c r="Q32" s="130">
        <f>Q22*Q36</f>
        <v>7089.8794714028545</v>
      </c>
    </row>
    <row r="33" spans="3:17" ht="12.6" customHeight="1" x14ac:dyDescent="0.3">
      <c r="D33" s="14" t="s">
        <v>155</v>
      </c>
      <c r="F33" s="14" t="s">
        <v>159</v>
      </c>
      <c r="H33" s="29">
        <v>119.565</v>
      </c>
      <c r="I33" s="29">
        <v>119.565</v>
      </c>
      <c r="J33" s="29">
        <v>119.565</v>
      </c>
      <c r="K33" s="29">
        <v>119.565</v>
      </c>
      <c r="L33" s="29">
        <v>119.565</v>
      </c>
      <c r="M33" s="72">
        <f>L33</f>
        <v>119.565</v>
      </c>
      <c r="N33" s="72">
        <f>M33</f>
        <v>119.565</v>
      </c>
      <c r="O33" s="72">
        <f>N33</f>
        <v>119.565</v>
      </c>
      <c r="P33" s="72">
        <f>O33</f>
        <v>119.565</v>
      </c>
      <c r="Q33" s="72">
        <f>P33</f>
        <v>119.565</v>
      </c>
    </row>
    <row r="34" spans="3:17" x14ac:dyDescent="0.3">
      <c r="D34" s="14" t="s">
        <v>157</v>
      </c>
      <c r="F34" s="14" t="s">
        <v>69</v>
      </c>
      <c r="H34" s="69">
        <f>H29</f>
        <v>137.63</v>
      </c>
      <c r="I34" s="69">
        <f>I29</f>
        <v>82.31</v>
      </c>
      <c r="J34" s="69">
        <f>J29</f>
        <v>150.19</v>
      </c>
      <c r="K34" s="69">
        <f>K29</f>
        <v>181.11</v>
      </c>
      <c r="L34" s="69">
        <f>L29</f>
        <v>192.51</v>
      </c>
      <c r="M34" s="66">
        <f>M24/M33</f>
        <v>173.1698196730938</v>
      </c>
      <c r="N34" s="66">
        <f>N24/N33</f>
        <v>185.40367717175801</v>
      </c>
      <c r="O34" s="66">
        <f>O24/O33</f>
        <v>201.00147357036366</v>
      </c>
      <c r="P34" s="66">
        <f>P24/P33</f>
        <v>216.94890945978742</v>
      </c>
      <c r="Q34" s="66">
        <f>Q24/Q33</f>
        <v>233.06082788116439</v>
      </c>
    </row>
    <row r="35" spans="3:17" x14ac:dyDescent="0.3">
      <c r="D35" s="14" t="s">
        <v>158</v>
      </c>
      <c r="F35" s="14" t="s">
        <v>69</v>
      </c>
      <c r="H35" s="24">
        <f>H32/H33</f>
        <v>35.287082340149716</v>
      </c>
      <c r="I35" s="24">
        <f t="shared" ref="I35:Q35" si="9">I32/I33</f>
        <v>44.287207794923262</v>
      </c>
      <c r="J35" s="24">
        <f t="shared" si="9"/>
        <v>45.204700372182494</v>
      </c>
      <c r="K35" s="24">
        <f t="shared" si="9"/>
        <v>42.204658553924645</v>
      </c>
      <c r="L35" s="24">
        <f t="shared" si="9"/>
        <v>51.327729686781247</v>
      </c>
      <c r="M35" s="24">
        <f t="shared" si="9"/>
        <v>44.324529522045452</v>
      </c>
      <c r="N35" s="24">
        <f t="shared" si="9"/>
        <v>47.382993896711504</v>
      </c>
      <c r="O35" s="24">
        <f t="shared" si="9"/>
        <v>51.282442996362917</v>
      </c>
      <c r="P35" s="24">
        <f t="shared" si="9"/>
        <v>55.269301968718857</v>
      </c>
      <c r="Q35" s="24">
        <f t="shared" si="9"/>
        <v>59.297281574063099</v>
      </c>
    </row>
    <row r="36" spans="3:17" x14ac:dyDescent="0.3">
      <c r="C36" s="74"/>
      <c r="D36" s="54" t="s">
        <v>156</v>
      </c>
      <c r="E36" s="54"/>
      <c r="F36" s="54" t="s">
        <v>137</v>
      </c>
      <c r="G36" s="54"/>
      <c r="H36" s="75">
        <f>H32/H22</f>
        <v>0.25108907827080551</v>
      </c>
      <c r="I36" s="75">
        <f>I32/I22</f>
        <v>0.52593835976996595</v>
      </c>
      <c r="J36" s="75">
        <f>J32/J22</f>
        <v>0.29837258344098128</v>
      </c>
      <c r="K36" s="75">
        <f>K32/K22</f>
        <v>0.22778033565347694</v>
      </c>
      <c r="L36" s="75">
        <f>L32/L22</f>
        <v>0.26102564320682575</v>
      </c>
      <c r="M36" s="75">
        <v>0.25</v>
      </c>
      <c r="N36" s="75">
        <v>0.25</v>
      </c>
      <c r="O36" s="75">
        <v>0.25</v>
      </c>
      <c r="P36" s="75">
        <v>0.25</v>
      </c>
      <c r="Q36" s="75">
        <v>0.25</v>
      </c>
    </row>
    <row r="38" spans="3:17" x14ac:dyDescent="0.3">
      <c r="C38" s="134" t="s">
        <v>304</v>
      </c>
      <c r="H38" s="30"/>
      <c r="I38" s="70"/>
      <c r="J38" s="70"/>
      <c r="K38" s="70"/>
      <c r="L38" s="70"/>
      <c r="M38" s="71"/>
    </row>
    <row r="39" spans="3:17" x14ac:dyDescent="0.3">
      <c r="D39" s="13" t="s">
        <v>305</v>
      </c>
      <c r="F39" s="14" t="s">
        <v>137</v>
      </c>
      <c r="H39" s="30">
        <f t="shared" ref="H39:Q39" si="10">H8/H3</f>
        <v>0.60690094873234357</v>
      </c>
      <c r="I39" s="30">
        <f t="shared" si="10"/>
        <v>0.57696956529985544</v>
      </c>
      <c r="J39" s="30">
        <f t="shared" si="10"/>
        <v>0.61021915788177372</v>
      </c>
      <c r="K39" s="30">
        <f t="shared" si="10"/>
        <v>0.63251551156541086</v>
      </c>
      <c r="L39" s="30">
        <f t="shared" si="10"/>
        <v>0.65383859866628324</v>
      </c>
      <c r="M39" s="31">
        <f t="shared" si="10"/>
        <v>0.63100000000000001</v>
      </c>
      <c r="N39" s="31">
        <f t="shared" si="10"/>
        <v>0.63100000000000001</v>
      </c>
      <c r="O39" s="31">
        <f t="shared" si="10"/>
        <v>0.63100000000000001</v>
      </c>
      <c r="P39" s="31">
        <f t="shared" si="10"/>
        <v>0.63100000000000001</v>
      </c>
      <c r="Q39" s="31">
        <f t="shared" si="10"/>
        <v>0.63100000000000001</v>
      </c>
    </row>
    <row r="40" spans="3:17" x14ac:dyDescent="0.3">
      <c r="D40" s="13" t="s">
        <v>306</v>
      </c>
      <c r="F40" s="14" t="s">
        <v>137</v>
      </c>
      <c r="H40" s="30">
        <f t="shared" ref="H40:Q40" si="11">H11/H3</f>
        <v>0.19304902395010812</v>
      </c>
      <c r="I40" s="30">
        <f t="shared" si="11"/>
        <v>0.13875454123797562</v>
      </c>
      <c r="J40" s="30">
        <f t="shared" si="11"/>
        <v>0.177262744738932</v>
      </c>
      <c r="K40" s="30">
        <f t="shared" si="11"/>
        <v>0.19377115388768737</v>
      </c>
      <c r="L40" s="30">
        <f t="shared" si="11"/>
        <v>0.20426215668962022</v>
      </c>
      <c r="M40" s="31">
        <f t="shared" si="11"/>
        <v>0.19099999999999998</v>
      </c>
      <c r="N40" s="31">
        <f t="shared" si="11"/>
        <v>0.19100000000000006</v>
      </c>
      <c r="O40" s="31">
        <f t="shared" si="11"/>
        <v>0.19100000000000003</v>
      </c>
      <c r="P40" s="31">
        <f t="shared" si="11"/>
        <v>0.191</v>
      </c>
      <c r="Q40" s="31">
        <f t="shared" si="11"/>
        <v>0.19100000000000006</v>
      </c>
    </row>
    <row r="41" spans="3:17" x14ac:dyDescent="0.3">
      <c r="D41" s="13" t="s">
        <v>307</v>
      </c>
      <c r="F41" s="14" t="s">
        <v>137</v>
      </c>
      <c r="H41" s="30">
        <f t="shared" ref="H41:Q41" si="12">H13/H3</f>
        <v>0.16446574680347073</v>
      </c>
      <c r="I41" s="30">
        <f t="shared" si="12"/>
        <v>0.11199248917603373</v>
      </c>
      <c r="J41" s="30">
        <f t="shared" si="12"/>
        <v>0.15363550101913706</v>
      </c>
      <c r="K41" s="30">
        <f t="shared" si="12"/>
        <v>0.1662221200630645</v>
      </c>
      <c r="L41" s="30">
        <f t="shared" si="12"/>
        <v>0.17829335649767161</v>
      </c>
      <c r="M41" s="31">
        <f t="shared" si="12"/>
        <v>0.16503119980805137</v>
      </c>
      <c r="N41" s="31">
        <f t="shared" si="12"/>
        <v>0.16503119980805145</v>
      </c>
      <c r="O41" s="31">
        <f t="shared" si="12"/>
        <v>0.16503119980805139</v>
      </c>
      <c r="P41" s="31">
        <f t="shared" si="12"/>
        <v>0.16503119980805139</v>
      </c>
      <c r="Q41" s="31">
        <f t="shared" si="12"/>
        <v>0.16503119980805142</v>
      </c>
    </row>
    <row r="42" spans="3:17" x14ac:dyDescent="0.3">
      <c r="D42" s="13" t="s">
        <v>308</v>
      </c>
      <c r="F42" s="14" t="s">
        <v>137</v>
      </c>
      <c r="H42" s="30">
        <f t="shared" ref="H42:Q42" si="13">H22/H3</f>
        <v>0.15801109440399322</v>
      </c>
      <c r="I42" s="30">
        <f t="shared" si="13"/>
        <v>8.6799502726898195E-2</v>
      </c>
      <c r="J42" s="30">
        <f t="shared" si="13"/>
        <v>0.14299968896979534</v>
      </c>
      <c r="K42" s="30">
        <f t="shared" si="13"/>
        <v>0.17088021770185097</v>
      </c>
      <c r="L42" s="30">
        <f t="shared" si="13"/>
        <v>0.15980606663689556</v>
      </c>
      <c r="M42" s="31">
        <f t="shared" si="13"/>
        <v>0.13276640193372161</v>
      </c>
      <c r="N42" s="31">
        <f t="shared" si="13"/>
        <v>0.13149873335333809</v>
      </c>
      <c r="O42" s="31">
        <f t="shared" si="13"/>
        <v>0.13254470562547013</v>
      </c>
      <c r="P42" s="31">
        <f t="shared" si="13"/>
        <v>0.13367971116881333</v>
      </c>
      <c r="Q42" s="31">
        <f t="shared" si="13"/>
        <v>0.13482174538544295</v>
      </c>
    </row>
    <row r="43" spans="3:17" x14ac:dyDescent="0.3">
      <c r="D43" s="80"/>
    </row>
  </sheetData>
  <mergeCells count="2">
    <mergeCell ref="H1:L1"/>
    <mergeCell ref="M1:Q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8143-8CE5-4485-B8AF-3645DBDD3DDD}">
  <dimension ref="A1:R68"/>
  <sheetViews>
    <sheetView showGridLines="0" workbookViewId="0">
      <pane xSplit="7" ySplit="2" topLeftCell="H49" activePane="bottomRight" state="frozen"/>
      <selection activeCell="S21" sqref="S21"/>
      <selection pane="topRight" activeCell="S21" sqref="S21"/>
      <selection pane="bottomLeft" activeCell="S21" sqref="S21"/>
      <selection pane="bottomRight" activeCell="I54" sqref="I54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8" width="8.8984375" style="14" bestFit="1" customWidth="1"/>
    <col min="9" max="12" width="8.59765625" style="14" bestFit="1" customWidth="1"/>
    <col min="13" max="17" width="8.59765625" style="3" bestFit="1" customWidth="1"/>
    <col min="18" max="16384" width="8.796875" style="1"/>
  </cols>
  <sheetData>
    <row r="1" spans="1:17" ht="25.05" customHeight="1" thickBot="1" x14ac:dyDescent="0.65">
      <c r="A1" s="7" t="s">
        <v>4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17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17" x14ac:dyDescent="0.3">
      <c r="C3" s="17" t="s">
        <v>29</v>
      </c>
      <c r="H3" s="15"/>
    </row>
    <row r="4" spans="1:17" x14ac:dyDescent="0.3">
      <c r="C4" s="17"/>
      <c r="D4" s="14" t="s">
        <v>33</v>
      </c>
      <c r="F4" s="14" t="s">
        <v>70</v>
      </c>
      <c r="H4" s="58">
        <v>2321.8000000000002</v>
      </c>
      <c r="I4" s="58">
        <v>2738</v>
      </c>
      <c r="J4" s="58">
        <v>4550.7</v>
      </c>
      <c r="K4" s="58">
        <v>3041.4</v>
      </c>
      <c r="L4" s="58">
        <v>2479.1</v>
      </c>
      <c r="M4" s="41">
        <f>'Cash Flow Statement'!M49</f>
        <v>17254.305876579321</v>
      </c>
      <c r="N4" s="41">
        <f>'Cash Flow Statement'!N49</f>
        <v>30716.602946430368</v>
      </c>
      <c r="O4" s="41">
        <f>'Cash Flow Statement'!O49</f>
        <v>45640.410112158854</v>
      </c>
      <c r="P4" s="41">
        <f>'Cash Flow Statement'!P49</f>
        <v>62303.528738092238</v>
      </c>
      <c r="Q4" s="41">
        <f>'Cash Flow Statement'!Q49</f>
        <v>80508.409058950463</v>
      </c>
    </row>
    <row r="5" spans="1:17" x14ac:dyDescent="0.3">
      <c r="C5" s="17"/>
      <c r="D5" s="14" t="s">
        <v>34</v>
      </c>
      <c r="F5" s="14" t="s">
        <v>70</v>
      </c>
      <c r="H5" s="58">
        <v>23464</v>
      </c>
      <c r="I5" s="58">
        <v>23430.9</v>
      </c>
      <c r="J5" s="58">
        <v>11242.8</v>
      </c>
      <c r="K5" s="58">
        <v>12589.4</v>
      </c>
      <c r="L5" s="58">
        <v>14849.9</v>
      </c>
      <c r="M5" s="40">
        <f>L5</f>
        <v>14849.9</v>
      </c>
      <c r="N5" s="40">
        <f>M5</f>
        <v>14849.9</v>
      </c>
      <c r="O5" s="40">
        <f>N5</f>
        <v>14849.9</v>
      </c>
      <c r="P5" s="40">
        <f>O5</f>
        <v>14849.9</v>
      </c>
      <c r="Q5" s="40">
        <f>P5</f>
        <v>14849.9</v>
      </c>
    </row>
    <row r="6" spans="1:17" x14ac:dyDescent="0.3">
      <c r="D6" s="14" t="s">
        <v>32</v>
      </c>
      <c r="F6" s="14" t="s">
        <v>70</v>
      </c>
      <c r="H6" s="58">
        <v>18846</v>
      </c>
      <c r="I6" s="58">
        <v>21321.8</v>
      </c>
      <c r="J6" s="58">
        <v>22528.1</v>
      </c>
      <c r="K6" s="58">
        <v>24662.5</v>
      </c>
      <c r="L6" s="58">
        <v>29791.1</v>
      </c>
      <c r="M6" s="41">
        <f>'Working Capital'!M5</f>
        <v>31933.756101631869</v>
      </c>
      <c r="N6" s="41">
        <f>'Working Capital'!N5</f>
        <v>34466.325390602688</v>
      </c>
      <c r="O6" s="41">
        <f>'Working Capital'!O5</f>
        <v>37008.405687277009</v>
      </c>
      <c r="P6" s="41">
        <f>'Working Capital'!P5</f>
        <v>39546.908245753541</v>
      </c>
      <c r="Q6" s="41">
        <f>'Working Capital'!Q5</f>
        <v>42069.649528025569</v>
      </c>
    </row>
    <row r="7" spans="1:17" x14ac:dyDescent="0.3">
      <c r="D7" s="14" t="s">
        <v>30</v>
      </c>
      <c r="F7" s="14" t="s">
        <v>70</v>
      </c>
      <c r="H7" s="58">
        <v>30055.3</v>
      </c>
      <c r="I7" s="58">
        <v>26075.3</v>
      </c>
      <c r="J7" s="58">
        <v>26611.8</v>
      </c>
      <c r="K7" s="58">
        <v>29224.1</v>
      </c>
      <c r="L7" s="58">
        <v>33332.199999999997</v>
      </c>
      <c r="M7" s="41">
        <f>'Working Capital'!M6</f>
        <v>37933.365210315169</v>
      </c>
      <c r="N7" s="41">
        <f>'Working Capital'!N6</f>
        <v>40941.745291042629</v>
      </c>
      <c r="O7" s="41">
        <f>'Working Capital'!O6</f>
        <v>43961.423276331858</v>
      </c>
      <c r="P7" s="41">
        <f>'Working Capital'!P6</f>
        <v>46976.85134973313</v>
      </c>
      <c r="Q7" s="41">
        <f>'Working Capital'!Q6</f>
        <v>49973.556970174475</v>
      </c>
    </row>
    <row r="8" spans="1:17" x14ac:dyDescent="0.3">
      <c r="D8" s="14" t="s">
        <v>31</v>
      </c>
      <c r="F8" s="14" t="s">
        <v>70</v>
      </c>
      <c r="H8" s="58">
        <v>1393.1</v>
      </c>
      <c r="I8" s="58">
        <v>3172.1</v>
      </c>
      <c r="J8" s="58">
        <v>1489.9</v>
      </c>
      <c r="K8" s="58">
        <v>9022.6</v>
      </c>
      <c r="L8" s="58">
        <v>7373.1</v>
      </c>
      <c r="M8" s="40">
        <f>L8</f>
        <v>7373.1</v>
      </c>
      <c r="N8" s="40">
        <f>M8</f>
        <v>7373.1</v>
      </c>
      <c r="O8" s="40">
        <f>N8</f>
        <v>7373.1</v>
      </c>
      <c r="P8" s="40">
        <f>O8</f>
        <v>7373.1</v>
      </c>
      <c r="Q8" s="40">
        <f>P8</f>
        <v>7373.1</v>
      </c>
    </row>
    <row r="9" spans="1:17" x14ac:dyDescent="0.3">
      <c r="D9" s="14" t="s">
        <v>35</v>
      </c>
      <c r="F9" s="14" t="s">
        <v>70</v>
      </c>
      <c r="H9" s="58">
        <v>202.5</v>
      </c>
      <c r="I9" s="58">
        <v>67.7</v>
      </c>
      <c r="J9" s="58">
        <v>90.7</v>
      </c>
      <c r="K9" s="58">
        <v>90.4</v>
      </c>
      <c r="L9" s="58">
        <v>66.3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</row>
    <row r="10" spans="1:17" x14ac:dyDescent="0.3">
      <c r="D10" s="14" t="s">
        <v>36</v>
      </c>
      <c r="F10" s="14" t="s">
        <v>70</v>
      </c>
      <c r="H10" s="58">
        <v>1731.5</v>
      </c>
      <c r="I10" s="58">
        <v>1897.5</v>
      </c>
      <c r="J10" s="58">
        <v>29302</v>
      </c>
      <c r="K10" s="58">
        <v>21154.799999999999</v>
      </c>
      <c r="L10" s="58">
        <v>25225.200000000001</v>
      </c>
      <c r="M10" s="40">
        <f t="shared" ref="M10:Q11" si="1">L10</f>
        <v>25225.200000000001</v>
      </c>
      <c r="N10" s="40">
        <f t="shared" si="1"/>
        <v>25225.200000000001</v>
      </c>
      <c r="O10" s="40">
        <f t="shared" si="1"/>
        <v>25225.200000000001</v>
      </c>
      <c r="P10" s="40">
        <f t="shared" si="1"/>
        <v>25225.200000000001</v>
      </c>
      <c r="Q10" s="40">
        <f t="shared" si="1"/>
        <v>25225.200000000001</v>
      </c>
    </row>
    <row r="11" spans="1:17" x14ac:dyDescent="0.3">
      <c r="D11" s="14" t="s">
        <v>37</v>
      </c>
      <c r="F11" s="14" t="s">
        <v>70</v>
      </c>
      <c r="H11" s="58">
        <v>6322.8</v>
      </c>
      <c r="I11" s="58">
        <v>7360.9</v>
      </c>
      <c r="J11" s="58">
        <v>8299.7999999999993</v>
      </c>
      <c r="K11" s="58">
        <v>8326.7000000000007</v>
      </c>
      <c r="L11" s="58">
        <v>8988.2999999999993</v>
      </c>
      <c r="M11" s="40">
        <f t="shared" si="1"/>
        <v>8988.2999999999993</v>
      </c>
      <c r="N11" s="40">
        <f t="shared" si="1"/>
        <v>8988.2999999999993</v>
      </c>
      <c r="O11" s="40">
        <f t="shared" si="1"/>
        <v>8988.2999999999993</v>
      </c>
      <c r="P11" s="40">
        <f t="shared" si="1"/>
        <v>8988.2999999999993</v>
      </c>
      <c r="Q11" s="40">
        <f t="shared" si="1"/>
        <v>8988.2999999999993</v>
      </c>
    </row>
    <row r="12" spans="1:17" x14ac:dyDescent="0.3">
      <c r="D12" s="14" t="s">
        <v>39</v>
      </c>
      <c r="F12" s="14" t="s">
        <v>70</v>
      </c>
      <c r="H12" s="58">
        <v>17.3</v>
      </c>
      <c r="I12" s="58">
        <v>1232.5999999999999</v>
      </c>
      <c r="J12" s="58">
        <v>0</v>
      </c>
      <c r="K12" s="58">
        <v>1346.3</v>
      </c>
      <c r="L12" s="58">
        <v>0</v>
      </c>
      <c r="M12" s="40">
        <f>0</f>
        <v>0</v>
      </c>
      <c r="N12" s="40">
        <f>0</f>
        <v>0</v>
      </c>
      <c r="O12" s="40">
        <f>0</f>
        <v>0</v>
      </c>
      <c r="P12" s="40">
        <f>0</f>
        <v>0</v>
      </c>
      <c r="Q12" s="40">
        <f>0</f>
        <v>0</v>
      </c>
    </row>
    <row r="13" spans="1:17" x14ac:dyDescent="0.3">
      <c r="C13" s="53" t="s">
        <v>38</v>
      </c>
      <c r="D13" s="5"/>
      <c r="E13" s="5"/>
      <c r="F13" s="54" t="s">
        <v>70</v>
      </c>
      <c r="G13" s="5"/>
      <c r="H13" s="48">
        <f>SUM(H4:H12)</f>
        <v>84354.300000000017</v>
      </c>
      <c r="I13" s="48">
        <f t="shared" ref="I13:Q13" si="2">SUM(I4:I12)</f>
        <v>87296.8</v>
      </c>
      <c r="J13" s="48">
        <f t="shared" si="2"/>
        <v>104115.79999999999</v>
      </c>
      <c r="K13" s="48">
        <f t="shared" si="2"/>
        <v>109458.2</v>
      </c>
      <c r="L13" s="48">
        <f t="shared" si="2"/>
        <v>122105.2</v>
      </c>
      <c r="M13" s="48">
        <f>SUM(M4:M12)</f>
        <v>143557.92718852634</v>
      </c>
      <c r="N13" s="48">
        <f t="shared" si="2"/>
        <v>162561.17362807569</v>
      </c>
      <c r="O13" s="48">
        <f t="shared" si="2"/>
        <v>183046.73907576772</v>
      </c>
      <c r="P13" s="48">
        <f t="shared" si="2"/>
        <v>205263.78833357891</v>
      </c>
      <c r="Q13" s="48">
        <f t="shared" si="2"/>
        <v>228988.11555715051</v>
      </c>
    </row>
    <row r="14" spans="1:17" x14ac:dyDescent="0.3">
      <c r="C14" s="17" t="s">
        <v>40</v>
      </c>
      <c r="F14" s="14" t="s">
        <v>70</v>
      </c>
      <c r="H14" s="25"/>
      <c r="I14" s="25"/>
      <c r="J14" s="25"/>
      <c r="K14" s="25"/>
      <c r="L14" s="25"/>
      <c r="M14" s="40"/>
      <c r="N14" s="40"/>
      <c r="O14" s="40"/>
      <c r="P14" s="40"/>
      <c r="Q14" s="40"/>
    </row>
    <row r="15" spans="1:17" x14ac:dyDescent="0.3">
      <c r="D15" s="14" t="s">
        <v>41</v>
      </c>
      <c r="F15" s="14" t="s">
        <v>70</v>
      </c>
      <c r="H15" s="58">
        <v>22871</v>
      </c>
      <c r="I15" s="58">
        <v>20654</v>
      </c>
      <c r="J15" s="58">
        <v>21614.6</v>
      </c>
      <c r="K15" s="58">
        <v>20639.3</v>
      </c>
      <c r="L15" s="58">
        <v>26949.7</v>
      </c>
      <c r="M15" s="41">
        <f>'Depreciation &amp; Amortisation'!M11</f>
        <v>24607.550561833712</v>
      </c>
      <c r="N15" s="41">
        <f>'Depreciation &amp; Amortisation'!N11</f>
        <v>23578.937513797748</v>
      </c>
      <c r="O15" s="41">
        <f>'Depreciation &amp; Amortisation'!O11</f>
        <v>22474.458618948091</v>
      </c>
      <c r="P15" s="41">
        <f>'Depreciation &amp; Amortisation'!P11</f>
        <v>21294.22065130695</v>
      </c>
      <c r="Q15" s="41">
        <f>'Depreciation &amp; Amortisation'!Q11</f>
        <v>20038.693990416501</v>
      </c>
    </row>
    <row r="16" spans="1:17" x14ac:dyDescent="0.3">
      <c r="D16" s="14" t="s">
        <v>71</v>
      </c>
      <c r="F16" s="14" t="s">
        <v>70</v>
      </c>
      <c r="H16" s="58">
        <v>0</v>
      </c>
      <c r="I16" s="58">
        <v>1378.5</v>
      </c>
      <c r="J16" s="58">
        <v>2471.6999999999998</v>
      </c>
      <c r="K16" s="58">
        <v>3222.2</v>
      </c>
      <c r="L16" s="58">
        <v>3956.6</v>
      </c>
      <c r="M16" s="40">
        <f>L16</f>
        <v>3956.6</v>
      </c>
      <c r="N16" s="40">
        <f>M16</f>
        <v>3956.6</v>
      </c>
      <c r="O16" s="40">
        <f>N16</f>
        <v>3956.6</v>
      </c>
      <c r="P16" s="40">
        <f>O16</f>
        <v>3956.6</v>
      </c>
      <c r="Q16" s="40">
        <f>P16</f>
        <v>3956.6</v>
      </c>
    </row>
    <row r="17" spans="1:17" x14ac:dyDescent="0.3">
      <c r="D17" s="14" t="s">
        <v>42</v>
      </c>
      <c r="F17" s="14" t="s">
        <v>70</v>
      </c>
      <c r="H17" s="58">
        <v>3394.8</v>
      </c>
      <c r="I17" s="58">
        <v>3102.7</v>
      </c>
      <c r="J17" s="58">
        <v>1484</v>
      </c>
      <c r="K17" s="58">
        <v>4765.5</v>
      </c>
      <c r="L17" s="58">
        <v>1379.1</v>
      </c>
      <c r="M17" s="40">
        <f t="shared" ref="M17:M23" si="3">L17</f>
        <v>1379.1</v>
      </c>
      <c r="N17" s="40">
        <f t="shared" ref="N17:Q22" si="4">M17</f>
        <v>1379.1</v>
      </c>
      <c r="O17" s="40">
        <f t="shared" si="4"/>
        <v>1379.1</v>
      </c>
      <c r="P17" s="40">
        <f t="shared" si="4"/>
        <v>1379.1</v>
      </c>
      <c r="Q17" s="40">
        <f t="shared" si="4"/>
        <v>1379.1</v>
      </c>
    </row>
    <row r="18" spans="1:17" x14ac:dyDescent="0.3">
      <c r="D18" s="14" t="s">
        <v>43</v>
      </c>
      <c r="F18" s="14" t="s">
        <v>70</v>
      </c>
      <c r="H18" s="58">
        <v>4030.9</v>
      </c>
      <c r="I18" s="58">
        <v>4131.7</v>
      </c>
      <c r="J18" s="58">
        <v>4167.3999999999996</v>
      </c>
      <c r="K18" s="58">
        <v>4231.1000000000004</v>
      </c>
      <c r="L18" s="58">
        <v>5236.3999999999996</v>
      </c>
      <c r="M18" s="40">
        <f t="shared" si="3"/>
        <v>5236.3999999999996</v>
      </c>
      <c r="N18" s="40">
        <f t="shared" si="4"/>
        <v>5236.3999999999996</v>
      </c>
      <c r="O18" s="40">
        <f t="shared" si="4"/>
        <v>5236.3999999999996</v>
      </c>
      <c r="P18" s="40">
        <f t="shared" si="4"/>
        <v>5236.3999999999996</v>
      </c>
      <c r="Q18" s="40">
        <f t="shared" si="4"/>
        <v>5236.3999999999996</v>
      </c>
    </row>
    <row r="19" spans="1:17" x14ac:dyDescent="0.3">
      <c r="D19" s="14" t="s">
        <v>44</v>
      </c>
      <c r="F19" s="14" t="s">
        <v>70</v>
      </c>
      <c r="H19" s="58">
        <v>2115.4</v>
      </c>
      <c r="I19" s="58">
        <v>664.1</v>
      </c>
      <c r="J19" s="58">
        <v>474.1</v>
      </c>
      <c r="K19" s="58">
        <v>430.5</v>
      </c>
      <c r="L19" s="58">
        <v>2567.6</v>
      </c>
      <c r="M19" s="40">
        <f t="shared" si="3"/>
        <v>2567.6</v>
      </c>
      <c r="N19" s="40">
        <f t="shared" si="4"/>
        <v>2567.6</v>
      </c>
      <c r="O19" s="40">
        <f t="shared" si="4"/>
        <v>2567.6</v>
      </c>
      <c r="P19" s="40">
        <f t="shared" si="4"/>
        <v>2567.6</v>
      </c>
      <c r="Q19" s="40">
        <f t="shared" si="4"/>
        <v>2567.6</v>
      </c>
    </row>
    <row r="20" spans="1:17" x14ac:dyDescent="0.3">
      <c r="D20" s="14" t="s">
        <v>72</v>
      </c>
      <c r="F20" s="14" t="s">
        <v>70</v>
      </c>
      <c r="H20" s="58">
        <v>0</v>
      </c>
      <c r="I20" s="58">
        <v>129.69999999999999</v>
      </c>
      <c r="J20" s="58">
        <v>101.7</v>
      </c>
      <c r="K20" s="58">
        <v>715.2</v>
      </c>
      <c r="L20" s="58">
        <v>1438.8</v>
      </c>
      <c r="M20" s="40">
        <f t="shared" si="3"/>
        <v>1438.8</v>
      </c>
      <c r="N20" s="40">
        <f t="shared" si="4"/>
        <v>1438.8</v>
      </c>
      <c r="O20" s="40">
        <f t="shared" si="4"/>
        <v>1438.8</v>
      </c>
      <c r="P20" s="40">
        <f t="shared" si="4"/>
        <v>1438.8</v>
      </c>
      <c r="Q20" s="40">
        <f t="shared" si="4"/>
        <v>1438.8</v>
      </c>
    </row>
    <row r="21" spans="1:17" x14ac:dyDescent="0.3">
      <c r="D21" s="14" t="s">
        <v>73</v>
      </c>
      <c r="F21" s="14" t="s">
        <v>70</v>
      </c>
      <c r="H21" s="58">
        <v>2316.6999999999998</v>
      </c>
      <c r="I21" s="58">
        <v>3046.1</v>
      </c>
      <c r="J21" s="58">
        <v>3348</v>
      </c>
      <c r="K21" s="58">
        <v>9108.6</v>
      </c>
      <c r="L21" s="58">
        <v>10966.9</v>
      </c>
      <c r="M21" s="40">
        <f t="shared" si="3"/>
        <v>10966.9</v>
      </c>
      <c r="N21" s="40">
        <f t="shared" si="4"/>
        <v>10966.9</v>
      </c>
      <c r="O21" s="40">
        <f t="shared" si="4"/>
        <v>10966.9</v>
      </c>
      <c r="P21" s="40">
        <f t="shared" si="4"/>
        <v>10966.9</v>
      </c>
      <c r="Q21" s="40">
        <f t="shared" si="4"/>
        <v>10966.9</v>
      </c>
    </row>
    <row r="22" spans="1:17" x14ac:dyDescent="0.3">
      <c r="D22" s="14" t="s">
        <v>35</v>
      </c>
      <c r="F22" s="14" t="s">
        <v>70</v>
      </c>
      <c r="H22" s="58">
        <v>80.2</v>
      </c>
      <c r="I22" s="58">
        <v>80.2</v>
      </c>
      <c r="J22" s="58">
        <v>0</v>
      </c>
      <c r="K22" s="58">
        <v>323.8</v>
      </c>
      <c r="L22" s="58">
        <v>348.1</v>
      </c>
      <c r="M22" s="40">
        <f t="shared" si="3"/>
        <v>348.1</v>
      </c>
      <c r="N22" s="40">
        <f t="shared" si="4"/>
        <v>348.1</v>
      </c>
      <c r="O22" s="40">
        <f t="shared" si="4"/>
        <v>348.1</v>
      </c>
      <c r="P22" s="40">
        <f t="shared" si="4"/>
        <v>348.1</v>
      </c>
      <c r="Q22" s="40">
        <f t="shared" si="4"/>
        <v>348.1</v>
      </c>
    </row>
    <row r="23" spans="1:17" x14ac:dyDescent="0.3">
      <c r="D23" s="14" t="s">
        <v>36</v>
      </c>
      <c r="F23" s="14" t="s">
        <v>70</v>
      </c>
      <c r="H23" s="58">
        <v>7106.7</v>
      </c>
      <c r="I23" s="58">
        <v>2952.5</v>
      </c>
      <c r="J23" s="58">
        <v>1202.2</v>
      </c>
      <c r="K23" s="58">
        <v>4753.6000000000004</v>
      </c>
      <c r="L23" s="58">
        <v>12157.4</v>
      </c>
      <c r="M23" s="40">
        <f t="shared" si="3"/>
        <v>12157.4</v>
      </c>
      <c r="N23" s="40">
        <f t="shared" ref="N23:Q25" si="5">M23</f>
        <v>12157.4</v>
      </c>
      <c r="O23" s="40">
        <f t="shared" si="5"/>
        <v>12157.4</v>
      </c>
      <c r="P23" s="40">
        <f t="shared" si="5"/>
        <v>12157.4</v>
      </c>
      <c r="Q23" s="40">
        <f t="shared" si="5"/>
        <v>12157.4</v>
      </c>
    </row>
    <row r="24" spans="1:17" x14ac:dyDescent="0.3">
      <c r="D24" s="14" t="s">
        <v>45</v>
      </c>
      <c r="F24" s="14" t="s">
        <v>70</v>
      </c>
      <c r="H24" s="58">
        <v>13092.6</v>
      </c>
      <c r="I24" s="58">
        <v>13025</v>
      </c>
      <c r="J24" s="58">
        <v>15148.3</v>
      </c>
      <c r="K24" s="58">
        <v>17382.5</v>
      </c>
      <c r="L24" s="58">
        <v>18193.5</v>
      </c>
      <c r="M24" s="40">
        <f>L24</f>
        <v>18193.5</v>
      </c>
      <c r="N24" s="40">
        <f t="shared" si="5"/>
        <v>18193.5</v>
      </c>
      <c r="O24" s="40">
        <f t="shared" si="5"/>
        <v>18193.5</v>
      </c>
      <c r="P24" s="40">
        <f t="shared" si="5"/>
        <v>18193.5</v>
      </c>
      <c r="Q24" s="40">
        <f t="shared" si="5"/>
        <v>18193.5</v>
      </c>
    </row>
    <row r="25" spans="1:17" x14ac:dyDescent="0.3">
      <c r="D25" s="14" t="s">
        <v>46</v>
      </c>
      <c r="F25" s="14" t="s">
        <v>70</v>
      </c>
      <c r="H25" s="58">
        <v>533.1</v>
      </c>
      <c r="I25" s="58">
        <v>575.4</v>
      </c>
      <c r="J25" s="58">
        <v>781.7</v>
      </c>
      <c r="K25" s="58">
        <v>647.1</v>
      </c>
      <c r="L25" s="58">
        <v>799.6</v>
      </c>
      <c r="M25" s="40">
        <f>L25</f>
        <v>799.6</v>
      </c>
      <c r="N25" s="40">
        <f t="shared" si="5"/>
        <v>799.6</v>
      </c>
      <c r="O25" s="40">
        <f t="shared" si="5"/>
        <v>799.6</v>
      </c>
      <c r="P25" s="40">
        <f t="shared" si="5"/>
        <v>799.6</v>
      </c>
      <c r="Q25" s="40">
        <f t="shared" si="5"/>
        <v>799.6</v>
      </c>
    </row>
    <row r="26" spans="1:17" x14ac:dyDescent="0.3">
      <c r="D26" s="14" t="s">
        <v>47</v>
      </c>
      <c r="F26" s="14" t="s">
        <v>70</v>
      </c>
      <c r="H26" s="58">
        <v>796.2</v>
      </c>
      <c r="I26" s="58">
        <v>529.79999999999995</v>
      </c>
      <c r="J26" s="58">
        <v>839.5</v>
      </c>
      <c r="K26" s="58">
        <v>1233.4000000000001</v>
      </c>
      <c r="L26" s="58">
        <v>2630.8</v>
      </c>
      <c r="M26" s="25">
        <f>L26</f>
        <v>2630.8</v>
      </c>
      <c r="N26" s="25">
        <f>M26</f>
        <v>2630.8</v>
      </c>
      <c r="O26" s="25">
        <f>N26</f>
        <v>2630.8</v>
      </c>
      <c r="P26" s="25">
        <f>O26</f>
        <v>2630.8</v>
      </c>
      <c r="Q26" s="25">
        <f>P26</f>
        <v>2630.8</v>
      </c>
    </row>
    <row r="27" spans="1:17" x14ac:dyDescent="0.3">
      <c r="C27" s="17" t="s">
        <v>48</v>
      </c>
      <c r="D27" s="16"/>
      <c r="E27" s="16"/>
      <c r="F27" s="14" t="s">
        <v>70</v>
      </c>
      <c r="G27" s="16"/>
      <c r="H27" s="50">
        <f>SUM(H15:H26)</f>
        <v>56337.599999999991</v>
      </c>
      <c r="I27" s="50">
        <f t="shared" ref="I27:Q27" si="6">SUM(I15:I26)</f>
        <v>50269.700000000004</v>
      </c>
      <c r="J27" s="50">
        <f>SUM(J15:J26)</f>
        <v>51633.2</v>
      </c>
      <c r="K27" s="50">
        <f t="shared" si="6"/>
        <v>67452.799999999988</v>
      </c>
      <c r="L27" s="50">
        <f t="shared" si="6"/>
        <v>86624.500000000015</v>
      </c>
      <c r="M27" s="50">
        <f t="shared" si="6"/>
        <v>84282.350561833722</v>
      </c>
      <c r="N27" s="50">
        <f t="shared" si="6"/>
        <v>83253.737513797751</v>
      </c>
      <c r="O27" s="50">
        <f t="shared" si="6"/>
        <v>82149.258618948093</v>
      </c>
      <c r="P27" s="50">
        <f t="shared" si="6"/>
        <v>80969.020651306957</v>
      </c>
      <c r="Q27" s="50">
        <f t="shared" si="6"/>
        <v>79713.493990416508</v>
      </c>
    </row>
    <row r="28" spans="1:17" x14ac:dyDescent="0.3">
      <c r="A28" s="32" t="s">
        <v>299</v>
      </c>
      <c r="B28" s="32"/>
      <c r="C28" s="33" t="s">
        <v>49</v>
      </c>
      <c r="D28" s="6"/>
      <c r="E28" s="6"/>
      <c r="F28" s="34" t="s">
        <v>70</v>
      </c>
      <c r="G28" s="6"/>
      <c r="H28" s="27">
        <f>SUM(H13,H27)</f>
        <v>140691.90000000002</v>
      </c>
      <c r="I28" s="27">
        <f>SUM(I13,I27)</f>
        <v>137566.5</v>
      </c>
      <c r="J28" s="27">
        <f t="shared" ref="J28:Q28" si="7">SUM(J13,J27)</f>
        <v>155749</v>
      </c>
      <c r="K28" s="27">
        <f t="shared" si="7"/>
        <v>176911</v>
      </c>
      <c r="L28" s="27">
        <f t="shared" si="7"/>
        <v>208729.7</v>
      </c>
      <c r="M28" s="27">
        <f t="shared" si="7"/>
        <v>227840.27775036008</v>
      </c>
      <c r="N28" s="27">
        <f t="shared" si="7"/>
        <v>245814.91114187345</v>
      </c>
      <c r="O28" s="27">
        <f t="shared" si="7"/>
        <v>265195.9976947158</v>
      </c>
      <c r="P28" s="27">
        <f t="shared" si="7"/>
        <v>286232.80898488587</v>
      </c>
      <c r="Q28" s="27">
        <f t="shared" si="7"/>
        <v>308701.60954756703</v>
      </c>
    </row>
    <row r="29" spans="1:17" x14ac:dyDescent="0.3">
      <c r="C29" s="17" t="s">
        <v>50</v>
      </c>
      <c r="F29" s="14" t="s">
        <v>70</v>
      </c>
      <c r="H29" s="25"/>
      <c r="I29" s="25"/>
      <c r="J29" s="25"/>
      <c r="K29" s="25"/>
      <c r="L29" s="25"/>
      <c r="M29" s="40"/>
      <c r="N29" s="40"/>
      <c r="O29" s="40"/>
      <c r="P29" s="40"/>
      <c r="Q29" s="40"/>
    </row>
    <row r="30" spans="1:17" x14ac:dyDescent="0.3">
      <c r="C30" s="17"/>
      <c r="D30" s="14" t="s">
        <v>53</v>
      </c>
      <c r="F30" s="14" t="s">
        <v>70</v>
      </c>
      <c r="H30" s="58">
        <v>11733.800000000001</v>
      </c>
      <c r="I30" s="58">
        <v>11650.3</v>
      </c>
      <c r="J30" s="58">
        <v>17481.2</v>
      </c>
      <c r="K30" s="58">
        <v>18393.5</v>
      </c>
      <c r="L30" s="58">
        <v>22441.8</v>
      </c>
      <c r="M30" s="41">
        <f>'Working Capital'!M7</f>
        <v>25988.39063344997</v>
      </c>
      <c r="N30" s="41">
        <f>'Working Capital'!N7</f>
        <v>28049.451029182397</v>
      </c>
      <c r="O30" s="41">
        <f>'Working Capital'!O7</f>
        <v>30118.25169144438</v>
      </c>
      <c r="P30" s="41">
        <f>'Working Capital'!P7</f>
        <v>32184.140711944819</v>
      </c>
      <c r="Q30" s="41">
        <f>'Working Capital'!Q7</f>
        <v>34237.202860417405</v>
      </c>
    </row>
    <row r="31" spans="1:17" x14ac:dyDescent="0.3">
      <c r="D31" s="14" t="s">
        <v>51</v>
      </c>
      <c r="F31" s="14" t="s">
        <v>70</v>
      </c>
      <c r="H31" s="58">
        <v>25707.4</v>
      </c>
      <c r="I31" s="58">
        <v>13071.5</v>
      </c>
      <c r="J31" s="58">
        <v>11739.7</v>
      </c>
      <c r="K31" s="58">
        <v>7518.8</v>
      </c>
      <c r="L31" s="58">
        <v>11310.5</v>
      </c>
      <c r="M31" s="41">
        <f>Debt!M13</f>
        <v>11187.5</v>
      </c>
      <c r="N31" s="41">
        <f>Debt!N13</f>
        <v>11934.97</v>
      </c>
      <c r="O31" s="41">
        <f>Debt!O13</f>
        <v>11934.97</v>
      </c>
      <c r="P31" s="41">
        <f>Debt!P13</f>
        <v>11706.4</v>
      </c>
      <c r="Q31" s="41">
        <f>Debt!Q13</f>
        <v>11706.4</v>
      </c>
    </row>
    <row r="32" spans="1:17" x14ac:dyDescent="0.3">
      <c r="D32" s="14" t="s">
        <v>52</v>
      </c>
      <c r="F32" s="14" t="s">
        <v>70</v>
      </c>
      <c r="H32" s="58">
        <v>216</v>
      </c>
      <c r="I32" s="58">
        <v>192</v>
      </c>
      <c r="J32" s="58">
        <v>151.80000000000001</v>
      </c>
      <c r="K32" s="58">
        <v>506.9</v>
      </c>
      <c r="L32" s="58">
        <v>468.8</v>
      </c>
      <c r="M32" s="40">
        <f t="shared" ref="M32:Q36" si="8">L32</f>
        <v>468.8</v>
      </c>
      <c r="N32" s="40">
        <f t="shared" si="8"/>
        <v>468.8</v>
      </c>
      <c r="O32" s="40">
        <f t="shared" si="8"/>
        <v>468.8</v>
      </c>
      <c r="P32" s="40">
        <f t="shared" si="8"/>
        <v>468.8</v>
      </c>
      <c r="Q32" s="40">
        <f t="shared" si="8"/>
        <v>468.8</v>
      </c>
    </row>
    <row r="33" spans="3:18" x14ac:dyDescent="0.3">
      <c r="D33" s="14" t="s">
        <v>54</v>
      </c>
      <c r="F33" s="14" t="s">
        <v>70</v>
      </c>
      <c r="H33" s="58">
        <v>5993.8</v>
      </c>
      <c r="I33" s="58">
        <v>6326.9</v>
      </c>
      <c r="J33" s="58">
        <v>6457.7</v>
      </c>
      <c r="K33" s="58">
        <v>7908.6</v>
      </c>
      <c r="L33" s="58">
        <v>7742.3</v>
      </c>
      <c r="M33" s="40">
        <f t="shared" si="8"/>
        <v>7742.3</v>
      </c>
      <c r="N33" s="40">
        <f t="shared" si="8"/>
        <v>7742.3</v>
      </c>
      <c r="O33" s="40">
        <f t="shared" si="8"/>
        <v>7742.3</v>
      </c>
      <c r="P33" s="40">
        <f t="shared" si="8"/>
        <v>7742.3</v>
      </c>
      <c r="Q33" s="40">
        <f t="shared" si="8"/>
        <v>7742.3</v>
      </c>
      <c r="R33" s="132"/>
    </row>
    <row r="34" spans="3:18" x14ac:dyDescent="0.3">
      <c r="D34" s="14" t="s">
        <v>55</v>
      </c>
      <c r="F34" s="14" t="s">
        <v>70</v>
      </c>
      <c r="H34" s="58">
        <v>1503.2</v>
      </c>
      <c r="I34" s="58">
        <v>1868.9</v>
      </c>
      <c r="J34" s="58">
        <v>2296.5</v>
      </c>
      <c r="K34" s="58">
        <v>3057</v>
      </c>
      <c r="L34" s="58">
        <v>3191.7</v>
      </c>
      <c r="M34" s="40">
        <f t="shared" si="8"/>
        <v>3191.7</v>
      </c>
      <c r="N34" s="40">
        <f t="shared" si="8"/>
        <v>3191.7</v>
      </c>
      <c r="O34" s="40">
        <f t="shared" si="8"/>
        <v>3191.7</v>
      </c>
      <c r="P34" s="40">
        <f t="shared" si="8"/>
        <v>3191.7</v>
      </c>
      <c r="Q34" s="40">
        <f t="shared" si="8"/>
        <v>3191.7</v>
      </c>
    </row>
    <row r="35" spans="3:18" x14ac:dyDescent="0.3">
      <c r="D35" s="14" t="s">
        <v>56</v>
      </c>
      <c r="F35" s="14" t="s">
        <v>70</v>
      </c>
      <c r="H35" s="58">
        <v>2736</v>
      </c>
      <c r="I35" s="58">
        <v>3727.5</v>
      </c>
      <c r="J35" s="58">
        <v>1268.7</v>
      </c>
      <c r="K35" s="58">
        <v>1591.1</v>
      </c>
      <c r="L35" s="58">
        <v>2006.5</v>
      </c>
      <c r="M35" s="40">
        <f t="shared" si="8"/>
        <v>2006.5</v>
      </c>
      <c r="N35" s="40">
        <f t="shared" si="8"/>
        <v>2006.5</v>
      </c>
      <c r="O35" s="40">
        <f t="shared" si="8"/>
        <v>2006.5</v>
      </c>
      <c r="P35" s="40">
        <f t="shared" si="8"/>
        <v>2006.5</v>
      </c>
      <c r="Q35" s="40">
        <f t="shared" si="8"/>
        <v>2006.5</v>
      </c>
    </row>
    <row r="36" spans="3:18" x14ac:dyDescent="0.3">
      <c r="D36" s="14" t="s">
        <v>57</v>
      </c>
      <c r="F36" s="14" t="s">
        <v>70</v>
      </c>
      <c r="H36" s="58">
        <v>163.19999999999999</v>
      </c>
      <c r="I36" s="58">
        <v>234.4</v>
      </c>
      <c r="J36" s="58">
        <v>549.9</v>
      </c>
      <c r="K36" s="58">
        <v>611</v>
      </c>
      <c r="L36" s="58">
        <v>665.4</v>
      </c>
      <c r="M36" s="40">
        <f t="shared" si="8"/>
        <v>665.4</v>
      </c>
      <c r="N36" s="40">
        <f t="shared" si="8"/>
        <v>665.4</v>
      </c>
      <c r="O36" s="40">
        <f t="shared" si="8"/>
        <v>665.4</v>
      </c>
      <c r="P36" s="40">
        <f t="shared" si="8"/>
        <v>665.4</v>
      </c>
      <c r="Q36" s="40">
        <f t="shared" si="8"/>
        <v>665.4</v>
      </c>
    </row>
    <row r="37" spans="3:18" x14ac:dyDescent="0.3">
      <c r="D37" s="14" t="s">
        <v>74</v>
      </c>
      <c r="F37" s="14" t="s">
        <v>70</v>
      </c>
      <c r="H37" s="58">
        <v>0</v>
      </c>
      <c r="I37" s="58">
        <v>0</v>
      </c>
      <c r="J37" s="58">
        <v>0</v>
      </c>
      <c r="K37" s="58">
        <v>62.9</v>
      </c>
      <c r="L37" s="58">
        <v>0</v>
      </c>
      <c r="M37" s="40">
        <f>0</f>
        <v>0</v>
      </c>
      <c r="N37" s="40">
        <f>0</f>
        <v>0</v>
      </c>
      <c r="O37" s="40">
        <f>0</f>
        <v>0</v>
      </c>
      <c r="P37" s="40">
        <f>0</f>
        <v>0</v>
      </c>
      <c r="Q37" s="40">
        <f>0</f>
        <v>0</v>
      </c>
    </row>
    <row r="38" spans="3:18" x14ac:dyDescent="0.3">
      <c r="C38" s="53" t="s">
        <v>58</v>
      </c>
      <c r="D38" s="5"/>
      <c r="E38" s="5"/>
      <c r="F38" s="54" t="s">
        <v>70</v>
      </c>
      <c r="G38" s="5"/>
      <c r="H38" s="48">
        <f>SUM(H30:H37)</f>
        <v>48053.4</v>
      </c>
      <c r="I38" s="48">
        <f t="shared" ref="I38:Q38" si="9">SUM(I30:I37)</f>
        <v>37071.5</v>
      </c>
      <c r="J38" s="48">
        <f t="shared" si="9"/>
        <v>39945.5</v>
      </c>
      <c r="K38" s="48">
        <f t="shared" si="9"/>
        <v>39649.800000000003</v>
      </c>
      <c r="L38" s="48">
        <f t="shared" si="9"/>
        <v>47827.000000000007</v>
      </c>
      <c r="M38" s="48">
        <f t="shared" si="9"/>
        <v>51250.590633449974</v>
      </c>
      <c r="N38" s="48">
        <f t="shared" si="9"/>
        <v>54059.121029182403</v>
      </c>
      <c r="O38" s="48">
        <f t="shared" si="9"/>
        <v>56127.921691444382</v>
      </c>
      <c r="P38" s="48">
        <f t="shared" si="9"/>
        <v>57965.240711944825</v>
      </c>
      <c r="Q38" s="48">
        <f t="shared" si="9"/>
        <v>60018.302860417411</v>
      </c>
    </row>
    <row r="39" spans="3:18" x14ac:dyDescent="0.3">
      <c r="C39" s="16" t="s">
        <v>59</v>
      </c>
      <c r="F39" s="14" t="s">
        <v>70</v>
      </c>
      <c r="H39" s="25"/>
      <c r="I39" s="25"/>
      <c r="J39" s="25"/>
      <c r="K39" s="25"/>
      <c r="L39" s="25"/>
      <c r="M39" s="40"/>
      <c r="N39" s="40"/>
      <c r="O39" s="40"/>
      <c r="P39" s="40"/>
      <c r="Q39" s="40"/>
    </row>
    <row r="40" spans="3:18" x14ac:dyDescent="0.3">
      <c r="D40" s="14" t="s">
        <v>51</v>
      </c>
      <c r="F40" s="14" t="s">
        <v>70</v>
      </c>
      <c r="H40" s="58">
        <v>93.8</v>
      </c>
      <c r="I40" s="58">
        <v>0</v>
      </c>
      <c r="J40" s="58">
        <v>400</v>
      </c>
      <c r="K40" s="58">
        <v>3109.1</v>
      </c>
      <c r="L40" s="58">
        <v>4924.5</v>
      </c>
      <c r="M40" s="41">
        <f>Debt!M14</f>
        <v>4712.5</v>
      </c>
      <c r="N40" s="41">
        <f>Debt!N14</f>
        <v>2882.5600000000013</v>
      </c>
      <c r="O40" s="41">
        <f>Debt!O14</f>
        <v>1800.090000000002</v>
      </c>
      <c r="P40" s="41">
        <f>Debt!P14</f>
        <v>1174.760000000002</v>
      </c>
      <c r="Q40" s="41">
        <f>Debt!Q14</f>
        <v>320.8600000000024</v>
      </c>
    </row>
    <row r="41" spans="3:18" x14ac:dyDescent="0.3">
      <c r="D41" s="14" t="s">
        <v>52</v>
      </c>
      <c r="F41" s="14" t="s">
        <v>70</v>
      </c>
      <c r="H41" s="58">
        <v>664.7</v>
      </c>
      <c r="I41" s="58">
        <v>703.3</v>
      </c>
      <c r="J41" s="58">
        <v>1892.6</v>
      </c>
      <c r="K41" s="58">
        <v>2674.2</v>
      </c>
      <c r="L41" s="58">
        <v>3767.8</v>
      </c>
      <c r="M41" s="40">
        <f t="shared" ref="M41:Q42" si="10">L41</f>
        <v>3767.8</v>
      </c>
      <c r="N41" s="40">
        <f t="shared" si="10"/>
        <v>3767.8</v>
      </c>
      <c r="O41" s="40">
        <f t="shared" si="10"/>
        <v>3767.8</v>
      </c>
      <c r="P41" s="40">
        <f t="shared" si="10"/>
        <v>3767.8</v>
      </c>
      <c r="Q41" s="40">
        <f t="shared" si="10"/>
        <v>3767.8</v>
      </c>
    </row>
    <row r="42" spans="3:18" x14ac:dyDescent="0.3">
      <c r="D42" s="14" t="s">
        <v>54</v>
      </c>
      <c r="F42" s="14" t="s">
        <v>70</v>
      </c>
      <c r="H42" s="58">
        <v>0</v>
      </c>
      <c r="I42" s="58">
        <v>1660.1</v>
      </c>
      <c r="J42" s="58">
        <v>3109.9</v>
      </c>
      <c r="K42" s="58">
        <v>3539.9</v>
      </c>
      <c r="L42" s="58">
        <v>4077</v>
      </c>
      <c r="M42" s="40">
        <f t="shared" si="10"/>
        <v>4077</v>
      </c>
      <c r="N42" s="40">
        <f t="shared" si="10"/>
        <v>4077</v>
      </c>
      <c r="O42" s="40">
        <f t="shared" si="10"/>
        <v>4077</v>
      </c>
      <c r="P42" s="40">
        <f t="shared" si="10"/>
        <v>4077</v>
      </c>
      <c r="Q42" s="40">
        <f t="shared" si="10"/>
        <v>4077</v>
      </c>
    </row>
    <row r="43" spans="3:18" x14ac:dyDescent="0.3">
      <c r="D43" s="14" t="s">
        <v>56</v>
      </c>
      <c r="F43" s="14" t="s">
        <v>70</v>
      </c>
      <c r="H43" s="58">
        <v>3327.5</v>
      </c>
      <c r="I43" s="58">
        <v>3693.6</v>
      </c>
      <c r="J43" s="58">
        <v>2998.6</v>
      </c>
      <c r="K43" s="58">
        <v>3382.2</v>
      </c>
      <c r="L43" s="58">
        <v>4312.1000000000004</v>
      </c>
      <c r="M43" s="40">
        <f>L43</f>
        <v>4312.1000000000004</v>
      </c>
      <c r="N43" s="40">
        <f t="shared" ref="N43:Q44" si="11">M43</f>
        <v>4312.1000000000004</v>
      </c>
      <c r="O43" s="40">
        <f t="shared" si="11"/>
        <v>4312.1000000000004</v>
      </c>
      <c r="P43" s="40">
        <f t="shared" si="11"/>
        <v>4312.1000000000004</v>
      </c>
      <c r="Q43" s="40">
        <f t="shared" si="11"/>
        <v>4312.1000000000004</v>
      </c>
    </row>
    <row r="44" spans="3:18" x14ac:dyDescent="0.3">
      <c r="D44" s="14" t="s">
        <v>76</v>
      </c>
      <c r="F44" s="14" t="s">
        <v>70</v>
      </c>
      <c r="H44" s="58">
        <v>0</v>
      </c>
      <c r="I44" s="58">
        <v>0</v>
      </c>
      <c r="J44" s="58">
        <v>0</v>
      </c>
      <c r="K44" s="58">
        <v>0</v>
      </c>
      <c r="L44" s="58">
        <v>151.19999999999999</v>
      </c>
      <c r="M44" s="40">
        <f>L44</f>
        <v>151.19999999999999</v>
      </c>
      <c r="N44" s="40">
        <f t="shared" si="11"/>
        <v>151.19999999999999</v>
      </c>
      <c r="O44" s="40">
        <f t="shared" si="11"/>
        <v>151.19999999999999</v>
      </c>
      <c r="P44" s="40">
        <f t="shared" si="11"/>
        <v>151.19999999999999</v>
      </c>
      <c r="Q44" s="40">
        <f t="shared" si="11"/>
        <v>151.19999999999999</v>
      </c>
    </row>
    <row r="45" spans="3:18" x14ac:dyDescent="0.3">
      <c r="D45" s="14" t="s">
        <v>60</v>
      </c>
      <c r="F45" s="14" t="s">
        <v>70</v>
      </c>
      <c r="H45" s="58">
        <v>79.2</v>
      </c>
      <c r="I45" s="58">
        <v>88</v>
      </c>
      <c r="J45" s="58">
        <v>258.39999999999998</v>
      </c>
      <c r="K45" s="58">
        <v>219.5</v>
      </c>
      <c r="L45" s="58">
        <v>180.8</v>
      </c>
      <c r="M45" s="40">
        <f>L45</f>
        <v>180.8</v>
      </c>
      <c r="N45" s="40">
        <f>M45</f>
        <v>180.8</v>
      </c>
      <c r="O45" s="40">
        <f>N45</f>
        <v>180.8</v>
      </c>
      <c r="P45" s="40">
        <f>O45</f>
        <v>180.8</v>
      </c>
      <c r="Q45" s="40">
        <f>P45</f>
        <v>180.8</v>
      </c>
    </row>
    <row r="46" spans="3:18" x14ac:dyDescent="0.3">
      <c r="C46" s="53" t="s">
        <v>61</v>
      </c>
      <c r="D46" s="5"/>
      <c r="E46" s="5"/>
      <c r="F46" s="54" t="s">
        <v>70</v>
      </c>
      <c r="G46" s="5"/>
      <c r="H46" s="48">
        <f t="shared" ref="H46:Q46" si="12">SUM(H40:H45)</f>
        <v>4165.2</v>
      </c>
      <c r="I46" s="48">
        <f t="shared" si="12"/>
        <v>6145</v>
      </c>
      <c r="J46" s="48">
        <f t="shared" si="12"/>
        <v>8659.5</v>
      </c>
      <c r="K46" s="48">
        <f t="shared" si="12"/>
        <v>12924.899999999998</v>
      </c>
      <c r="L46" s="48">
        <f t="shared" si="12"/>
        <v>17413.400000000001</v>
      </c>
      <c r="M46" s="48">
        <f t="shared" si="12"/>
        <v>17201.400000000001</v>
      </c>
      <c r="N46" s="48">
        <f t="shared" si="12"/>
        <v>15371.460000000001</v>
      </c>
      <c r="O46" s="48">
        <f t="shared" si="12"/>
        <v>14288.990000000003</v>
      </c>
      <c r="P46" s="48">
        <f t="shared" si="12"/>
        <v>13663.660000000002</v>
      </c>
      <c r="Q46" s="48">
        <f t="shared" si="12"/>
        <v>12809.760000000002</v>
      </c>
    </row>
    <row r="47" spans="3:18" x14ac:dyDescent="0.3">
      <c r="C47" s="17" t="s">
        <v>62</v>
      </c>
      <c r="F47" s="14" t="s">
        <v>70</v>
      </c>
      <c r="H47" s="25"/>
      <c r="I47" s="25"/>
      <c r="J47" s="25"/>
      <c r="K47" s="25"/>
      <c r="L47" s="25"/>
      <c r="M47" s="40"/>
      <c r="N47" s="40"/>
      <c r="O47" s="40"/>
      <c r="P47" s="40"/>
      <c r="Q47" s="40"/>
    </row>
    <row r="48" spans="3:18" x14ac:dyDescent="0.3">
      <c r="C48" s="17"/>
      <c r="D48" s="14" t="s">
        <v>63</v>
      </c>
      <c r="F48" s="14" t="s">
        <v>70</v>
      </c>
      <c r="H48" s="58">
        <v>239.1</v>
      </c>
      <c r="I48" s="58">
        <v>239.1</v>
      </c>
      <c r="J48" s="58">
        <v>239.1</v>
      </c>
      <c r="K48" s="58">
        <v>239.1</v>
      </c>
      <c r="L48" s="58">
        <v>239.1</v>
      </c>
      <c r="M48" s="46">
        <f>L48</f>
        <v>239.1</v>
      </c>
      <c r="N48" s="46">
        <f>M48</f>
        <v>239.1</v>
      </c>
      <c r="O48" s="46">
        <f>N48</f>
        <v>239.1</v>
      </c>
      <c r="P48" s="46">
        <f>O48</f>
        <v>239.1</v>
      </c>
      <c r="Q48" s="46">
        <f>P48</f>
        <v>239.1</v>
      </c>
    </row>
    <row r="49" spans="1:17" x14ac:dyDescent="0.3">
      <c r="C49" s="17"/>
      <c r="D49" s="14" t="s">
        <v>64</v>
      </c>
      <c r="F49" s="14" t="s">
        <v>70</v>
      </c>
      <c r="H49" s="58">
        <v>86139.9</v>
      </c>
      <c r="I49" s="58">
        <v>90213.8</v>
      </c>
      <c r="J49" s="58">
        <v>102881.5</v>
      </c>
      <c r="K49" s="58">
        <v>119609.60000000001</v>
      </c>
      <c r="L49" s="58">
        <v>137961.9</v>
      </c>
      <c r="M49" s="41">
        <f>L49+('Income Statement'!M22-'Income Statement'!M32)</f>
        <v>153860.88711691007</v>
      </c>
      <c r="N49" s="41">
        <f>M49+('Income Statement'!N22-'Income Statement'!N32)</f>
        <v>170856.93011269101</v>
      </c>
      <c r="O49" s="41">
        <f>N49+('Income Statement'!O22-'Income Statement'!O32)</f>
        <v>189251.6860032714</v>
      </c>
      <c r="P49" s="41">
        <f>O49+('Income Statement'!P22-'Income Statement'!P32)</f>
        <v>209076.50827294102</v>
      </c>
      <c r="Q49" s="41">
        <f>P49+('Income Statement'!Q22-'Income Statement'!Q32)</f>
        <v>230346.14668714959</v>
      </c>
    </row>
    <row r="50" spans="1:17" x14ac:dyDescent="0.3">
      <c r="C50" s="17"/>
      <c r="D50" s="14" t="s">
        <v>65</v>
      </c>
      <c r="F50" s="14" t="s">
        <v>70</v>
      </c>
      <c r="H50" s="58">
        <v>2094.3000000000002</v>
      </c>
      <c r="I50" s="58">
        <v>3897.1</v>
      </c>
      <c r="J50" s="58">
        <v>4023.4</v>
      </c>
      <c r="K50" s="58">
        <v>4487.6000000000004</v>
      </c>
      <c r="L50" s="58">
        <v>5288.3</v>
      </c>
      <c r="M50" s="40">
        <f>L50</f>
        <v>5288.3</v>
      </c>
      <c r="N50" s="40">
        <f>M50</f>
        <v>5288.3</v>
      </c>
      <c r="O50" s="40">
        <f>N50</f>
        <v>5288.3</v>
      </c>
      <c r="P50" s="40">
        <f>O50</f>
        <v>5288.3</v>
      </c>
      <c r="Q50" s="40">
        <f>P50</f>
        <v>5288.3</v>
      </c>
    </row>
    <row r="51" spans="1:17" x14ac:dyDescent="0.3">
      <c r="C51" s="17" t="s">
        <v>66</v>
      </c>
      <c r="F51" s="14" t="s">
        <v>70</v>
      </c>
      <c r="H51" s="50">
        <f>SUM(H48:H50)</f>
        <v>88473.3</v>
      </c>
      <c r="I51" s="50">
        <f t="shared" ref="I51:Q51" si="13">SUM(I48:I50)</f>
        <v>94350.000000000015</v>
      </c>
      <c r="J51" s="50">
        <f t="shared" si="13"/>
        <v>107144</v>
      </c>
      <c r="K51" s="50">
        <f t="shared" si="13"/>
        <v>124336.30000000002</v>
      </c>
      <c r="L51" s="50">
        <f t="shared" si="13"/>
        <v>143489.29999999999</v>
      </c>
      <c r="M51" s="50">
        <f t="shared" si="13"/>
        <v>159388.28711691007</v>
      </c>
      <c r="N51" s="50">
        <f t="shared" si="13"/>
        <v>176384.33011269101</v>
      </c>
      <c r="O51" s="50">
        <f t="shared" si="13"/>
        <v>194779.0860032714</v>
      </c>
      <c r="P51" s="50">
        <f t="shared" si="13"/>
        <v>214603.90827294101</v>
      </c>
      <c r="Q51" s="50">
        <f t="shared" si="13"/>
        <v>235873.54668714959</v>
      </c>
    </row>
    <row r="52" spans="1:17" x14ac:dyDescent="0.3">
      <c r="A52" s="33" t="s">
        <v>299</v>
      </c>
      <c r="B52" s="33"/>
      <c r="C52" s="33" t="s">
        <v>67</v>
      </c>
      <c r="D52" s="6"/>
      <c r="E52" s="6"/>
      <c r="F52" s="34" t="s">
        <v>70</v>
      </c>
      <c r="G52" s="6"/>
      <c r="H52" s="27">
        <f t="shared" ref="H52:Q52" si="14">SUM(H38,H46,H51)</f>
        <v>140691.9</v>
      </c>
      <c r="I52" s="27">
        <f t="shared" si="14"/>
        <v>137566.5</v>
      </c>
      <c r="J52" s="27">
        <f t="shared" si="14"/>
        <v>155749</v>
      </c>
      <c r="K52" s="27">
        <f t="shared" si="14"/>
        <v>176911</v>
      </c>
      <c r="L52" s="27">
        <f t="shared" si="14"/>
        <v>208729.7</v>
      </c>
      <c r="M52" s="27">
        <f t="shared" si="14"/>
        <v>227840.27775036005</v>
      </c>
      <c r="N52" s="27">
        <f t="shared" si="14"/>
        <v>245814.9111418734</v>
      </c>
      <c r="O52" s="27">
        <f t="shared" si="14"/>
        <v>265195.9976947158</v>
      </c>
      <c r="P52" s="27">
        <f t="shared" si="14"/>
        <v>286232.80898488581</v>
      </c>
      <c r="Q52" s="27">
        <f t="shared" si="14"/>
        <v>308701.60954756697</v>
      </c>
    </row>
    <row r="53" spans="1:17" x14ac:dyDescent="0.3">
      <c r="H53" s="25"/>
      <c r="I53" s="25"/>
      <c r="J53" s="25"/>
      <c r="K53" s="25"/>
      <c r="L53" s="25"/>
      <c r="M53" s="40"/>
      <c r="N53" s="40"/>
      <c r="O53" s="40"/>
      <c r="P53" s="40"/>
      <c r="Q53" s="40"/>
    </row>
    <row r="54" spans="1:17" x14ac:dyDescent="0.3">
      <c r="D54" s="14" t="s">
        <v>68</v>
      </c>
      <c r="F54" s="14" t="s">
        <v>70</v>
      </c>
      <c r="H54" s="25">
        <f t="shared" ref="H54:Q54" si="15">H28-H52</f>
        <v>0</v>
      </c>
      <c r="I54" s="25">
        <f t="shared" si="15"/>
        <v>0</v>
      </c>
      <c r="J54" s="25">
        <f t="shared" si="15"/>
        <v>0</v>
      </c>
      <c r="K54" s="25">
        <f t="shared" si="15"/>
        <v>0</v>
      </c>
      <c r="L54" s="25">
        <f t="shared" si="15"/>
        <v>0</v>
      </c>
      <c r="M54" s="141">
        <f t="shared" si="15"/>
        <v>0</v>
      </c>
      <c r="N54" s="40">
        <f t="shared" si="15"/>
        <v>0</v>
      </c>
      <c r="O54" s="40">
        <f t="shared" si="15"/>
        <v>0</v>
      </c>
      <c r="P54" s="40">
        <f t="shared" si="15"/>
        <v>0</v>
      </c>
      <c r="Q54" s="40">
        <f t="shared" si="15"/>
        <v>0</v>
      </c>
    </row>
    <row r="56" spans="1:17" x14ac:dyDescent="0.3">
      <c r="C56" s="134" t="s">
        <v>304</v>
      </c>
      <c r="L56" s="78"/>
      <c r="M56" s="78"/>
      <c r="N56" s="82"/>
      <c r="O56" s="82"/>
      <c r="P56" s="82"/>
      <c r="Q56" s="82"/>
    </row>
    <row r="57" spans="1:17" x14ac:dyDescent="0.3">
      <c r="D57" s="13" t="s">
        <v>309</v>
      </c>
      <c r="F57" s="14" t="s">
        <v>316</v>
      </c>
      <c r="H57" s="189">
        <f t="shared" ref="H57:Q57" si="16">H13/H38</f>
        <v>1.7554283359762268</v>
      </c>
      <c r="I57" s="189">
        <f t="shared" si="16"/>
        <v>2.3548224377217002</v>
      </c>
      <c r="J57" s="189">
        <f t="shared" si="16"/>
        <v>2.6064462830606701</v>
      </c>
      <c r="K57" s="189">
        <f t="shared" si="16"/>
        <v>2.7606242654439614</v>
      </c>
      <c r="L57" s="189">
        <f t="shared" si="16"/>
        <v>2.5530599870366109</v>
      </c>
      <c r="M57" s="189">
        <f t="shared" si="16"/>
        <v>2.8010980051970304</v>
      </c>
      <c r="N57" s="190">
        <f t="shared" si="16"/>
        <v>3.0070998294685793</v>
      </c>
      <c r="O57" s="190">
        <f t="shared" si="16"/>
        <v>3.2612420620532196</v>
      </c>
      <c r="P57" s="190">
        <f t="shared" si="16"/>
        <v>3.5411530395194313</v>
      </c>
      <c r="Q57" s="190">
        <f t="shared" si="16"/>
        <v>3.8153047427832245</v>
      </c>
    </row>
    <row r="58" spans="1:17" x14ac:dyDescent="0.3">
      <c r="D58" s="13" t="s">
        <v>310</v>
      </c>
      <c r="F58" s="14" t="s">
        <v>316</v>
      </c>
      <c r="H58" s="189">
        <f>(H13-H7)/H38</f>
        <v>1.1299720727357485</v>
      </c>
      <c r="I58" s="189">
        <f t="shared" ref="I58:Q58" si="17">(I13-I7)/I38</f>
        <v>1.6514438315147755</v>
      </c>
      <c r="J58" s="189">
        <f t="shared" si="17"/>
        <v>1.9402435818803117</v>
      </c>
      <c r="K58" s="189">
        <f t="shared" si="17"/>
        <v>2.0235688452400771</v>
      </c>
      <c r="L58" s="189">
        <f t="shared" si="17"/>
        <v>1.856127292115332</v>
      </c>
      <c r="M58" s="189">
        <f t="shared" si="17"/>
        <v>2.0609433115346905</v>
      </c>
      <c r="N58" s="189">
        <f t="shared" si="17"/>
        <v>2.2497485349674848</v>
      </c>
      <c r="O58" s="189">
        <f t="shared" si="17"/>
        <v>2.4780058054534511</v>
      </c>
      <c r="P58" s="189">
        <f t="shared" si="17"/>
        <v>2.7307216366174392</v>
      </c>
      <c r="Q58" s="189">
        <f t="shared" si="17"/>
        <v>2.9826661210881666</v>
      </c>
    </row>
    <row r="59" spans="1:17" x14ac:dyDescent="0.3">
      <c r="D59" s="13" t="s">
        <v>221</v>
      </c>
      <c r="F59" s="14" t="s">
        <v>316</v>
      </c>
      <c r="H59" s="189">
        <f>SUM(H40,H41,H32,H31)/H51</f>
        <v>0.30158138104942395</v>
      </c>
      <c r="I59" s="189">
        <f t="shared" ref="I59:Q59" si="18">SUM(I40,I41,I32,I31)/I51</f>
        <v>0.14803179650238471</v>
      </c>
      <c r="J59" s="189">
        <f t="shared" si="18"/>
        <v>0.13238352124244007</v>
      </c>
      <c r="K59" s="189">
        <f t="shared" si="18"/>
        <v>0.11106169316603436</v>
      </c>
      <c r="L59" s="189">
        <f t="shared" si="18"/>
        <v>0.1426698715513979</v>
      </c>
      <c r="M59" s="189">
        <f t="shared" si="18"/>
        <v>0.12633676140348982</v>
      </c>
      <c r="N59" s="189">
        <f t="shared" si="18"/>
        <v>0.10802620611381078</v>
      </c>
      <c r="O59" s="189">
        <f t="shared" si="18"/>
        <v>9.2266887419823723E-2</v>
      </c>
      <c r="P59" s="189">
        <f t="shared" si="18"/>
        <v>7.976443736629911E-2</v>
      </c>
      <c r="Q59" s="189">
        <f t="shared" si="18"/>
        <v>6.8951606606278498E-2</v>
      </c>
    </row>
    <row r="60" spans="1:17" x14ac:dyDescent="0.3">
      <c r="D60" s="13" t="s">
        <v>311</v>
      </c>
      <c r="F60" s="14" t="s">
        <v>137</v>
      </c>
      <c r="H60" s="188">
        <f>SUM(H41,H40,H32,H31)/SUM(H51,H41,H40,H32,H31)</f>
        <v>0.23170382231979103</v>
      </c>
      <c r="I60" s="188">
        <f t="shared" ref="I60:Q60" si="19">SUM(I41,I40,I32,I31)/SUM(I51,I41,I40,I32,I31)</f>
        <v>0.12894398652840555</v>
      </c>
      <c r="J60" s="188">
        <f t="shared" si="19"/>
        <v>0.1169069654927424</v>
      </c>
      <c r="K60" s="188">
        <f t="shared" si="19"/>
        <v>9.9959969684093472E-2</v>
      </c>
      <c r="L60" s="188">
        <f t="shared" si="19"/>
        <v>0.12485659690816532</v>
      </c>
      <c r="M60" s="188">
        <f t="shared" si="19"/>
        <v>0.11216606412283472</v>
      </c>
      <c r="N60" s="188">
        <f t="shared" si="19"/>
        <v>9.7494270007107489E-2</v>
      </c>
      <c r="O60" s="188">
        <f t="shared" si="19"/>
        <v>8.4472841283121339E-2</v>
      </c>
      <c r="P60" s="188">
        <f t="shared" si="19"/>
        <v>7.3872073024423793E-2</v>
      </c>
      <c r="Q60" s="188">
        <f t="shared" si="19"/>
        <v>6.4503955258729581E-2</v>
      </c>
    </row>
    <row r="61" spans="1:17" x14ac:dyDescent="0.3">
      <c r="D61" s="13" t="s">
        <v>312</v>
      </c>
      <c r="F61" s="14" t="s">
        <v>137</v>
      </c>
      <c r="I61" s="30">
        <f>'Income Statement'!I22/AVERAGE('Balance sheet'!H51:I51)</f>
        <v>0.11014022829694038</v>
      </c>
      <c r="J61" s="30">
        <f>'Income Statement'!J22/AVERAGE('Balance sheet'!I51:J51)</f>
        <v>0.17980287254211047</v>
      </c>
      <c r="K61" s="30">
        <f>'Income Statement'!K22/AVERAGE('Balance sheet'!J51:K51)</f>
        <v>0.19140980895566498</v>
      </c>
      <c r="L61" s="30">
        <f>'Income Statement'!L22/AVERAGE('Balance sheet'!K51:L51)</f>
        <v>0.17557022181598769</v>
      </c>
      <c r="M61" s="30">
        <f>'Income Statement'!M22/AVERAGE('Balance sheet'!L51:M51)</f>
        <v>0.13998163212407547</v>
      </c>
      <c r="N61" s="30">
        <f>'Income Statement'!N22/AVERAGE('Balance sheet'!M51:N51)</f>
        <v>0.13498057612926431</v>
      </c>
      <c r="O61" s="30">
        <f>'Income Statement'!O22/AVERAGE('Balance sheet'!N51:O51)</f>
        <v>0.13215925989741281</v>
      </c>
      <c r="P61" s="30">
        <f>'Income Statement'!P22/AVERAGE('Balance sheet'!O51:P51)</f>
        <v>0.12913626960149185</v>
      </c>
      <c r="Q61" s="30">
        <f>'Income Statement'!Q22/AVERAGE('Balance sheet'!P51:Q51)</f>
        <v>0.12590871118344377</v>
      </c>
    </row>
    <row r="62" spans="1:17" x14ac:dyDescent="0.3">
      <c r="D62" s="13" t="s">
        <v>313</v>
      </c>
      <c r="F62" s="14" t="s">
        <v>137</v>
      </c>
      <c r="I62" s="30">
        <f>'Income Statement'!I13/(AVERAGE('Balance sheet'!H28:I28)-AVERAGE('Balance sheet'!H38:I38))</f>
        <v>0.13452145795524867</v>
      </c>
      <c r="J62" s="30">
        <f>'Income Statement'!J13/(AVERAGE('Balance sheet'!I28:J28)-AVERAGE('Balance sheet'!I38:J38))</f>
        <v>0.17995409122115966</v>
      </c>
      <c r="K62" s="30">
        <f>'Income Statement'!K13/(AVERAGE('Balance sheet'!J28:K28)-AVERAGE('Balance sheet'!J38:K38))</f>
        <v>0.17031138677184141</v>
      </c>
      <c r="L62" s="30">
        <f>'Income Statement'!L13/(AVERAGE('Balance sheet'!K28:L28)-AVERAGE('Balance sheet'!K38:L38))</f>
        <v>0.17595020725178326</v>
      </c>
      <c r="M62" s="30">
        <f>'Income Statement'!M13/(AVERAGE('Balance sheet'!L28:M28)-AVERAGE('Balance sheet'!L38:M38))</f>
        <v>0.15615362849664502</v>
      </c>
      <c r="N62" s="30">
        <f>'Income Statement'!N13/(AVERAGE('Balance sheet'!M28:N28)-AVERAGE('Balance sheet'!M38:N38))</f>
        <v>0.15442076484735417</v>
      </c>
      <c r="O62" s="30">
        <f>'Income Statement'!O13/(AVERAGE('Balance sheet'!N28:O28)-AVERAGE('Balance sheet'!N38:O38))</f>
        <v>0.15237469896035238</v>
      </c>
      <c r="P62" s="30">
        <f>'Income Statement'!P13/(AVERAGE('Balance sheet'!O28:P28)-AVERAGE('Balance sheet'!O38:P38))</f>
        <v>0.14923260433749685</v>
      </c>
      <c r="Q62" s="30">
        <f>'Income Statement'!Q13/(AVERAGE('Balance sheet'!P28:Q28)-AVERAGE('Balance sheet'!P38:Q38))</f>
        <v>0.14556645351987726</v>
      </c>
    </row>
    <row r="63" spans="1:17" x14ac:dyDescent="0.3">
      <c r="D63" s="13" t="s">
        <v>314</v>
      </c>
      <c r="F63" s="14" t="s">
        <v>137</v>
      </c>
      <c r="I63" s="30">
        <f>'Income Statement'!I22/AVERAGE('Balance sheet'!H28:I28)</f>
        <v>7.236511099036011E-2</v>
      </c>
      <c r="J63" s="30">
        <f>'Income Statement'!J22/AVERAGE('Balance sheet'!I28:J28)</f>
        <v>0.12351614558385085</v>
      </c>
      <c r="K63" s="30">
        <f>'Income Statement'!K22/AVERAGE('Balance sheet'!J28:K28)</f>
        <v>0.13319184753201474</v>
      </c>
      <c r="L63" s="30">
        <f>'Income Statement'!L22/AVERAGE('Balance sheet'!K28:L28)</f>
        <v>0.12193266945112377</v>
      </c>
      <c r="M63" s="30">
        <f>'Income Statement'!M22/AVERAGE('Balance sheet'!L28:M28)</f>
        <v>9.7114554685825388E-2</v>
      </c>
      <c r="N63" s="30">
        <f>'Income Statement'!N22/AVERAGE('Balance sheet'!M28:N28)</f>
        <v>9.5687289794252353E-2</v>
      </c>
      <c r="O63" s="30">
        <f>'Income Statement'!O22/AVERAGE('Balance sheet'!N28:O28)</f>
        <v>9.5991458355671022E-2</v>
      </c>
      <c r="P63" s="30">
        <f>'Income Statement'!P22/AVERAGE('Balance sheet'!O28:P28)</f>
        <v>9.5871293045878117E-2</v>
      </c>
      <c r="Q63" s="30">
        <f>'Income Statement'!Q22/AVERAGE('Balance sheet'!P28:Q28)</f>
        <v>9.5336618632913886E-2</v>
      </c>
    </row>
    <row r="64" spans="1:17" x14ac:dyDescent="0.3">
      <c r="C64" s="134" t="s">
        <v>315</v>
      </c>
    </row>
    <row r="65" spans="3:17" x14ac:dyDescent="0.3">
      <c r="D65" s="14" t="s">
        <v>317</v>
      </c>
      <c r="F65" s="14" t="s">
        <v>137</v>
      </c>
      <c r="H65" s="120"/>
      <c r="I65" s="191">
        <f>'Income Statement'!I22/'Income Statement'!I3</f>
        <v>8.6799502726898195E-2</v>
      </c>
      <c r="J65" s="191">
        <f>'Income Statement'!J22/'Income Statement'!J3</f>
        <v>0.14299968896979534</v>
      </c>
      <c r="K65" s="191">
        <f>'Income Statement'!K22/'Income Statement'!K3</f>
        <v>0.17088021770185097</v>
      </c>
      <c r="L65" s="191">
        <f>'Income Statement'!L22/'Income Statement'!L3</f>
        <v>0.15980606663689556</v>
      </c>
      <c r="M65" s="191">
        <f>'Income Statement'!M22/'Income Statement'!M3</f>
        <v>0.13276640193372161</v>
      </c>
      <c r="N65" s="191">
        <f>'Income Statement'!N22/'Income Statement'!N3</f>
        <v>0.13149873335333809</v>
      </c>
      <c r="O65" s="191">
        <f>'Income Statement'!O22/'Income Statement'!O3</f>
        <v>0.13254470562547013</v>
      </c>
      <c r="P65" s="191">
        <f>'Income Statement'!P22/'Income Statement'!P3</f>
        <v>0.13367971116881333</v>
      </c>
      <c r="Q65" s="191">
        <f>'Income Statement'!Q22/'Income Statement'!Q3</f>
        <v>0.13482174538544295</v>
      </c>
    </row>
    <row r="66" spans="3:17" x14ac:dyDescent="0.3">
      <c r="D66" s="14" t="s">
        <v>318</v>
      </c>
      <c r="F66" s="14" t="s">
        <v>316</v>
      </c>
      <c r="I66" s="83">
        <f>'Income Statement'!I3/AVERAGE('Balance sheet'!H28:I28)</f>
        <v>0.83370421162487818</v>
      </c>
      <c r="J66" s="83">
        <f>'Income Statement'!J3/AVERAGE('Balance sheet'!I28:J28)</f>
        <v>0.86375114850732404</v>
      </c>
      <c r="K66" s="83">
        <f>'Income Statement'!K3/AVERAGE('Balance sheet'!J28:K28)</f>
        <v>0.77944568027415373</v>
      </c>
      <c r="L66" s="83">
        <f>'Income Statement'!L3/AVERAGE('Balance sheet'!K28:L28)</f>
        <v>0.76300400865365092</v>
      </c>
      <c r="M66" s="83">
        <f>'Income Statement'!M3/AVERAGE('Balance sheet'!L28:M28)</f>
        <v>0.7314693572422486</v>
      </c>
      <c r="N66" s="83">
        <f>'Income Statement'!N3/AVERAGE('Balance sheet'!M28:N28)</f>
        <v>0.7276670075379349</v>
      </c>
      <c r="O66" s="83">
        <f>'Income Statement'!O3/AVERAGE('Balance sheet'!N28:O28)</f>
        <v>0.72421948430677308</v>
      </c>
      <c r="P66" s="83">
        <f>'Income Statement'!P3/AVERAGE('Balance sheet'!O28:P28)</f>
        <v>0.71717160523192625</v>
      </c>
      <c r="Q66" s="83">
        <f>'Income Statement'!Q3/AVERAGE('Balance sheet'!P28:Q28)</f>
        <v>0.707130873883551</v>
      </c>
    </row>
    <row r="67" spans="3:17" x14ac:dyDescent="0.3">
      <c r="D67" s="14" t="s">
        <v>319</v>
      </c>
      <c r="F67" s="14" t="s">
        <v>316</v>
      </c>
      <c r="I67" s="83">
        <f>AVERAGE(H28:I28)/AVERAGE(H51:I51)</f>
        <v>1.5220073152601445</v>
      </c>
      <c r="J67" s="83">
        <f t="shared" ref="J67:Q67" si="20">AVERAGE(I28:J28)/AVERAGE(I51:J51)</f>
        <v>1.4557033956346095</v>
      </c>
      <c r="K67" s="83">
        <f t="shared" si="20"/>
        <v>1.4370985349509222</v>
      </c>
      <c r="L67" s="83">
        <f t="shared" si="20"/>
        <v>1.439894842016596</v>
      </c>
      <c r="M67" s="83">
        <f t="shared" si="20"/>
        <v>1.441407341844166</v>
      </c>
      <c r="N67" s="83">
        <f t="shared" si="20"/>
        <v>1.4106426926658777</v>
      </c>
      <c r="O67" s="83">
        <f t="shared" si="20"/>
        <v>1.376781457030599</v>
      </c>
      <c r="P67" s="83">
        <f t="shared" si="20"/>
        <v>1.3469753614326987</v>
      </c>
      <c r="Q67" s="83">
        <f t="shared" si="20"/>
        <v>1.3206752346466712</v>
      </c>
    </row>
    <row r="68" spans="3:17" x14ac:dyDescent="0.3">
      <c r="C68" s="53" t="s">
        <v>312</v>
      </c>
      <c r="D68" s="5"/>
      <c r="E68" s="5"/>
      <c r="F68" s="5" t="s">
        <v>137</v>
      </c>
      <c r="G68" s="5"/>
      <c r="H68" s="5"/>
      <c r="I68" s="192">
        <f>I65*I66*I67</f>
        <v>0.1101402282969404</v>
      </c>
      <c r="J68" s="192">
        <f t="shared" ref="J68:Q68" si="21">J65*J66*J67</f>
        <v>0.17980287254211044</v>
      </c>
      <c r="K68" s="192">
        <f t="shared" si="21"/>
        <v>0.19140980895566495</v>
      </c>
      <c r="L68" s="192">
        <f t="shared" si="21"/>
        <v>0.17557022181598769</v>
      </c>
      <c r="M68" s="192">
        <f t="shared" si="21"/>
        <v>0.13998163212407544</v>
      </c>
      <c r="N68" s="192">
        <f t="shared" si="21"/>
        <v>0.13498057612926431</v>
      </c>
      <c r="O68" s="192">
        <f t="shared" si="21"/>
        <v>0.13215925989741281</v>
      </c>
      <c r="P68" s="192">
        <f t="shared" si="21"/>
        <v>0.12913626960149185</v>
      </c>
      <c r="Q68" s="192">
        <f t="shared" si="21"/>
        <v>0.12590871118344377</v>
      </c>
    </row>
  </sheetData>
  <mergeCells count="2">
    <mergeCell ref="H1:L1"/>
    <mergeCell ref="M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2B87-2E5A-4DAB-B3B6-C63FEEC8C69B}">
  <dimension ref="A1:R53"/>
  <sheetViews>
    <sheetView showGridLines="0" topLeftCell="A30" workbookViewId="0">
      <selection activeCell="S55" sqref="S55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12" width="7.5" style="14" bestFit="1" customWidth="1"/>
    <col min="13" max="13" width="6.796875" style="3" bestFit="1" customWidth="1"/>
    <col min="14" max="17" width="7.296875" style="3" bestFit="1" customWidth="1"/>
    <col min="18" max="18" width="9.5" style="1" bestFit="1" customWidth="1"/>
    <col min="19" max="16384" width="8.796875" style="1"/>
  </cols>
  <sheetData>
    <row r="1" spans="1:17" ht="25.05" customHeight="1" thickBot="1" x14ac:dyDescent="0.65">
      <c r="A1" s="7" t="s">
        <v>4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17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17" x14ac:dyDescent="0.3">
      <c r="C3" s="16" t="s">
        <v>80</v>
      </c>
      <c r="H3" s="15"/>
    </row>
    <row r="4" spans="1:17" x14ac:dyDescent="0.3">
      <c r="D4" s="14" t="s">
        <v>93</v>
      </c>
      <c r="F4" s="14" t="s">
        <v>70</v>
      </c>
      <c r="G4" s="15"/>
      <c r="H4" s="59">
        <v>18442.8</v>
      </c>
      <c r="I4" s="59">
        <v>13047.7</v>
      </c>
      <c r="J4" s="59">
        <v>20231.3</v>
      </c>
      <c r="K4" s="59">
        <v>25270.3</v>
      </c>
      <c r="L4" s="59">
        <v>28708.9</v>
      </c>
      <c r="M4" s="56">
        <f>'Income Statement'!M18</f>
        <v>30722.68041914994</v>
      </c>
      <c r="N4" s="56">
        <f>'Income Statement'!N18</f>
        <v>32842.595160929341</v>
      </c>
      <c r="O4" s="56">
        <f>'Income Statement'!O18</f>
        <v>35037.630267772183</v>
      </c>
      <c r="P4" s="56">
        <f>'Income Statement'!P18</f>
        <v>37229.713182478139</v>
      </c>
      <c r="Q4" s="56">
        <f>'Income Statement'!Q18</f>
        <v>39388.219285571417</v>
      </c>
    </row>
    <row r="5" spans="1:17" x14ac:dyDescent="0.3">
      <c r="C5" s="17" t="s">
        <v>94</v>
      </c>
      <c r="H5" s="60"/>
      <c r="I5" s="60"/>
      <c r="J5" s="60"/>
      <c r="K5" s="60"/>
      <c r="L5" s="60"/>
      <c r="M5" s="51"/>
      <c r="N5" s="51"/>
      <c r="O5" s="51"/>
      <c r="P5" s="51"/>
      <c r="Q5" s="51"/>
    </row>
    <row r="6" spans="1:17" x14ac:dyDescent="0.3">
      <c r="D6" s="14" t="s">
        <v>95</v>
      </c>
      <c r="F6" s="14" t="s">
        <v>70</v>
      </c>
      <c r="H6" s="59">
        <v>3039.6</v>
      </c>
      <c r="I6" s="59">
        <v>3104.2</v>
      </c>
      <c r="J6" s="59">
        <v>2993</v>
      </c>
      <c r="K6" s="59">
        <v>3571.6</v>
      </c>
      <c r="L6" s="59">
        <v>3820.6</v>
      </c>
      <c r="M6" s="56">
        <f>-'Income Statement'!M12</f>
        <v>4146.4066579084911</v>
      </c>
      <c r="N6" s="56">
        <f>-'Income Statement'!N12</f>
        <v>4475.245587096234</v>
      </c>
      <c r="O6" s="56">
        <f>-'Income Statement'!O12</f>
        <v>4805.3194635773589</v>
      </c>
      <c r="P6" s="56">
        <f>-'Income Statement'!P12</f>
        <v>5134.9287922164958</v>
      </c>
      <c r="Q6" s="56">
        <f>-'Income Statement'!Q12</f>
        <v>5462.4916136930087</v>
      </c>
    </row>
    <row r="7" spans="1:17" x14ac:dyDescent="0.3">
      <c r="D7" s="14" t="s">
        <v>96</v>
      </c>
      <c r="F7" s="14" t="s">
        <v>70</v>
      </c>
      <c r="H7" s="59">
        <v>-160.1</v>
      </c>
      <c r="I7" s="59">
        <v>-17.5</v>
      </c>
      <c r="J7" s="59">
        <v>-19.8</v>
      </c>
      <c r="K7" s="59">
        <v>-155.1</v>
      </c>
      <c r="L7" s="59">
        <v>-244.8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</row>
    <row r="8" spans="1:17" x14ac:dyDescent="0.3">
      <c r="D8" s="14" t="s">
        <v>97</v>
      </c>
      <c r="F8" s="14" t="s">
        <v>70</v>
      </c>
      <c r="H8" s="59">
        <v>-33.799999999999997</v>
      </c>
      <c r="I8" s="59">
        <v>-21.6</v>
      </c>
      <c r="J8" s="59">
        <v>-146.30000000000001</v>
      </c>
      <c r="K8" s="59">
        <v>-110.2</v>
      </c>
      <c r="L8" s="59">
        <v>-646.9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</row>
    <row r="9" spans="1:17" x14ac:dyDescent="0.3">
      <c r="D9" s="14" t="s">
        <v>98</v>
      </c>
      <c r="F9" s="14" t="s">
        <v>70</v>
      </c>
      <c r="H9" s="59">
        <v>69</v>
      </c>
      <c r="I9" s="59">
        <v>-287</v>
      </c>
      <c r="J9" s="59">
        <v>-5.4</v>
      </c>
      <c r="K9" s="59">
        <v>-418.7</v>
      </c>
      <c r="L9" s="59">
        <v>109.1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</row>
    <row r="10" spans="1:17" x14ac:dyDescent="0.3">
      <c r="D10" s="14" t="s">
        <v>99</v>
      </c>
      <c r="F10" s="14" t="s">
        <v>70</v>
      </c>
      <c r="H10" s="59">
        <v>14.3</v>
      </c>
      <c r="I10" s="59">
        <v>123.6</v>
      </c>
      <c r="J10" s="59">
        <v>31.8</v>
      </c>
      <c r="K10" s="59">
        <v>-46</v>
      </c>
      <c r="L10" s="59">
        <v>-127.8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</row>
    <row r="11" spans="1:17" x14ac:dyDescent="0.3">
      <c r="D11" s="14" t="s">
        <v>130</v>
      </c>
      <c r="F11" s="14" t="s">
        <v>70</v>
      </c>
      <c r="H11" s="59">
        <v>0</v>
      </c>
      <c r="I11" s="59">
        <v>0</v>
      </c>
      <c r="J11" s="59">
        <v>189.4</v>
      </c>
      <c r="K11" s="59">
        <v>166.1</v>
      </c>
      <c r="L11" s="59">
        <v>48.7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</row>
    <row r="12" spans="1:17" x14ac:dyDescent="0.3">
      <c r="D12" s="14" t="s">
        <v>100</v>
      </c>
      <c r="F12" s="14" t="s">
        <v>70</v>
      </c>
      <c r="H12" s="59">
        <v>-177</v>
      </c>
      <c r="I12" s="59">
        <v>-118.8</v>
      </c>
      <c r="J12" s="59">
        <v>594.29999999999995</v>
      </c>
      <c r="K12" s="59">
        <v>111.6</v>
      </c>
      <c r="L12" s="59">
        <v>-160.30000000000001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</row>
    <row r="13" spans="1:17" x14ac:dyDescent="0.3">
      <c r="D13" s="14" t="s">
        <v>101</v>
      </c>
      <c r="F13" s="14" t="s">
        <v>70</v>
      </c>
      <c r="H13" s="59">
        <v>-1.9</v>
      </c>
      <c r="I13" s="59">
        <v>-1.9</v>
      </c>
      <c r="J13" s="59">
        <v>-1.9</v>
      </c>
      <c r="K13" s="59">
        <v>-1.7</v>
      </c>
      <c r="L13" s="59">
        <v>-0.8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</row>
    <row r="14" spans="1:17" x14ac:dyDescent="0.3">
      <c r="D14" s="14" t="s">
        <v>102</v>
      </c>
      <c r="F14" s="14" t="s">
        <v>70</v>
      </c>
      <c r="H14" s="59">
        <v>11.2</v>
      </c>
      <c r="I14" s="59">
        <v>1051.5</v>
      </c>
      <c r="J14" s="59">
        <v>992.2</v>
      </c>
      <c r="K14" s="59">
        <v>137.30000000000001</v>
      </c>
      <c r="L14" s="59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</row>
    <row r="15" spans="1:17" x14ac:dyDescent="0.3">
      <c r="D15" s="14" t="s">
        <v>15</v>
      </c>
      <c r="F15" s="14" t="s">
        <v>70</v>
      </c>
      <c r="H15" s="59">
        <v>-1226.8</v>
      </c>
      <c r="I15" s="59">
        <v>-1711.4</v>
      </c>
      <c r="J15" s="59">
        <v>-2757.7</v>
      </c>
      <c r="K15" s="59">
        <v>-3587.8</v>
      </c>
      <c r="L15" s="59">
        <v>-3916.4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</row>
    <row r="16" spans="1:17" x14ac:dyDescent="0.3">
      <c r="D16" s="14" t="s">
        <v>103</v>
      </c>
      <c r="F16" s="14" t="s">
        <v>70</v>
      </c>
      <c r="H16" s="59">
        <v>523.70000000000005</v>
      </c>
      <c r="I16" s="59">
        <v>1073.5999999999999</v>
      </c>
      <c r="J16" s="59">
        <v>1124.0999999999999</v>
      </c>
      <c r="K16" s="59">
        <v>1217</v>
      </c>
      <c r="L16" s="59">
        <v>1607.8</v>
      </c>
      <c r="M16" s="56">
        <f>-'Income Statement'!M14</f>
        <v>1461.1499999999999</v>
      </c>
      <c r="N16" s="56">
        <f>-'Income Statement'!N14</f>
        <v>1431</v>
      </c>
      <c r="O16" s="56">
        <f>-'Income Statement'!O14</f>
        <v>1333.5777</v>
      </c>
      <c r="P16" s="56">
        <f>-'Income Statement'!P14</f>
        <v>1236.1554000000001</v>
      </c>
      <c r="Q16" s="56">
        <f>-'Income Statement'!Q14</f>
        <v>1159.3044000000002</v>
      </c>
    </row>
    <row r="17" spans="1:18" x14ac:dyDescent="0.3">
      <c r="D17" s="14" t="s">
        <v>131</v>
      </c>
      <c r="F17" s="14" t="s">
        <v>70</v>
      </c>
      <c r="H17" s="59">
        <v>0</v>
      </c>
      <c r="I17" s="59">
        <v>0</v>
      </c>
      <c r="J17" s="59">
        <v>524</v>
      </c>
      <c r="K17" s="59">
        <v>133.69999999999999</v>
      </c>
      <c r="L17" s="59">
        <v>737.7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</row>
    <row r="18" spans="1:18" x14ac:dyDescent="0.3">
      <c r="D18" s="14" t="s">
        <v>104</v>
      </c>
      <c r="F18" s="14" t="s">
        <v>70</v>
      </c>
      <c r="H18" s="59">
        <v>27.8</v>
      </c>
      <c r="I18" s="59">
        <v>48.8</v>
      </c>
      <c r="J18" s="59">
        <v>318</v>
      </c>
      <c r="K18" s="59">
        <v>20.2</v>
      </c>
      <c r="L18" s="59">
        <v>136.4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</row>
    <row r="19" spans="1:18" x14ac:dyDescent="0.3">
      <c r="C19" s="17" t="s">
        <v>105</v>
      </c>
      <c r="F19" s="16" t="s">
        <v>70</v>
      </c>
      <c r="H19" s="61">
        <f>SUM(H4:H18)</f>
        <v>20528.8</v>
      </c>
      <c r="I19" s="61">
        <f t="shared" ref="I19:Q19" si="1">SUM(I4:I18)</f>
        <v>16291.200000000004</v>
      </c>
      <c r="J19" s="61">
        <f t="shared" si="1"/>
        <v>24066.999999999996</v>
      </c>
      <c r="K19" s="61">
        <f t="shared" si="1"/>
        <v>26308.299999999996</v>
      </c>
      <c r="L19" s="61">
        <f t="shared" si="1"/>
        <v>30072.2</v>
      </c>
      <c r="M19" s="61">
        <f t="shared" si="1"/>
        <v>36330.237077058431</v>
      </c>
      <c r="N19" s="61">
        <f t="shared" si="1"/>
        <v>38748.840748025577</v>
      </c>
      <c r="O19" s="61">
        <f t="shared" si="1"/>
        <v>41176.527431349547</v>
      </c>
      <c r="P19" s="61">
        <f t="shared" si="1"/>
        <v>43600.797374694637</v>
      </c>
      <c r="Q19" s="61">
        <f t="shared" si="1"/>
        <v>46010.015299264429</v>
      </c>
    </row>
    <row r="20" spans="1:18" x14ac:dyDescent="0.3">
      <c r="C20" s="17" t="s">
        <v>106</v>
      </c>
      <c r="H20" s="60"/>
      <c r="I20" s="60"/>
      <c r="J20" s="60"/>
      <c r="K20" s="60"/>
      <c r="L20" s="60"/>
      <c r="M20" s="51"/>
      <c r="N20" s="51"/>
      <c r="O20" s="51"/>
      <c r="P20" s="51"/>
      <c r="Q20" s="51"/>
    </row>
    <row r="21" spans="1:18" x14ac:dyDescent="0.3">
      <c r="D21" s="14" t="s">
        <v>107</v>
      </c>
      <c r="F21" s="14" t="s">
        <v>70</v>
      </c>
      <c r="H21" s="59">
        <v>-2217.5</v>
      </c>
      <c r="I21" s="59">
        <v>-1347.1</v>
      </c>
      <c r="J21" s="59">
        <v>-2219.9</v>
      </c>
      <c r="K21" s="59">
        <v>-2185.5</v>
      </c>
      <c r="L21" s="59">
        <v>-3288.7</v>
      </c>
      <c r="M21" s="56">
        <f>'Balance sheet'!L6-'Balance sheet'!M6</f>
        <v>-2142.6561016318701</v>
      </c>
      <c r="N21" s="56">
        <f>'Balance sheet'!M6-'Balance sheet'!N6</f>
        <v>-2532.5692889708189</v>
      </c>
      <c r="O21" s="56">
        <f>'Balance sheet'!N6-'Balance sheet'!O6</f>
        <v>-2542.0802966743213</v>
      </c>
      <c r="P21" s="56">
        <f>'Balance sheet'!O6-'Balance sheet'!P6</f>
        <v>-2538.5025584765317</v>
      </c>
      <c r="Q21" s="56">
        <f>'Balance sheet'!P6-'Balance sheet'!Q6</f>
        <v>-2522.7412822720289</v>
      </c>
    </row>
    <row r="22" spans="1:18" x14ac:dyDescent="0.3">
      <c r="D22" s="14" t="s">
        <v>108</v>
      </c>
      <c r="F22" s="14" t="s">
        <v>70</v>
      </c>
      <c r="H22" s="59">
        <v>-435.8</v>
      </c>
      <c r="I22" s="59">
        <v>-770.1</v>
      </c>
      <c r="J22" s="59">
        <v>-1351.1</v>
      </c>
      <c r="K22" s="59">
        <v>249.9</v>
      </c>
      <c r="L22" s="59">
        <v>-875.4</v>
      </c>
      <c r="M22" s="56">
        <f>'Balance sheet'!L9-'Balance sheet'!M9</f>
        <v>66.3</v>
      </c>
      <c r="N22" s="56">
        <f>'Balance sheet'!M9-'Balance sheet'!N9</f>
        <v>0</v>
      </c>
      <c r="O22" s="56">
        <f>'Balance sheet'!N9-'Balance sheet'!O9</f>
        <v>0</v>
      </c>
      <c r="P22" s="56">
        <f>'Balance sheet'!O9-'Balance sheet'!P9</f>
        <v>0</v>
      </c>
      <c r="Q22" s="56">
        <f>'Balance sheet'!P9-'Balance sheet'!Q9</f>
        <v>0</v>
      </c>
    </row>
    <row r="23" spans="1:18" x14ac:dyDescent="0.3">
      <c r="D23" s="14" t="s">
        <v>109</v>
      </c>
      <c r="F23" s="14" t="s">
        <v>70</v>
      </c>
      <c r="H23" s="59">
        <v>-6731.4</v>
      </c>
      <c r="I23" s="59">
        <v>4734.1000000000004</v>
      </c>
      <c r="J23" s="59">
        <v>-734</v>
      </c>
      <c r="K23" s="59">
        <v>-2612.3000000000002</v>
      </c>
      <c r="L23" s="59">
        <v>-2473.1</v>
      </c>
      <c r="M23" s="56">
        <f>'Balance sheet'!L7-'Balance sheet'!M7</f>
        <v>-4601.1652103151719</v>
      </c>
      <c r="N23" s="56">
        <f>'Balance sheet'!M7-'Balance sheet'!N7</f>
        <v>-3008.3800807274602</v>
      </c>
      <c r="O23" s="56">
        <f>'Balance sheet'!N7-'Balance sheet'!O7</f>
        <v>-3019.6779852892287</v>
      </c>
      <c r="P23" s="56">
        <f>'Balance sheet'!O7-'Balance sheet'!P7</f>
        <v>-3015.4280734012718</v>
      </c>
      <c r="Q23" s="56">
        <f>'Balance sheet'!P7-'Balance sheet'!Q7</f>
        <v>-2996.7056204413457</v>
      </c>
    </row>
    <row r="24" spans="1:18" x14ac:dyDescent="0.3">
      <c r="D24" s="14" t="s">
        <v>110</v>
      </c>
      <c r="F24" s="14" t="s">
        <v>70</v>
      </c>
      <c r="H24" s="59">
        <v>3344.9</v>
      </c>
      <c r="I24" s="59">
        <v>145.1</v>
      </c>
      <c r="J24" s="59">
        <v>5252.8</v>
      </c>
      <c r="K24" s="59">
        <v>2166.5</v>
      </c>
      <c r="L24" s="59">
        <v>1214.2</v>
      </c>
      <c r="M24" s="56">
        <f>'Balance sheet'!M30-'Balance sheet'!L30</f>
        <v>3546.5906334499705</v>
      </c>
      <c r="N24" s="56">
        <f>'Balance sheet'!N30-'Balance sheet'!M30</f>
        <v>2061.0603957324274</v>
      </c>
      <c r="O24" s="56">
        <f>'Balance sheet'!O30-'Balance sheet'!N30</f>
        <v>2068.8006622619832</v>
      </c>
      <c r="P24" s="56">
        <f>'Balance sheet'!P30-'Balance sheet'!O30</f>
        <v>2065.8890205004391</v>
      </c>
      <c r="Q24" s="56">
        <f>'Balance sheet'!Q30-'Balance sheet'!P30</f>
        <v>2053.0621484725852</v>
      </c>
    </row>
    <row r="25" spans="1:18" x14ac:dyDescent="0.3">
      <c r="D25" s="14" t="s">
        <v>111</v>
      </c>
      <c r="F25" s="14" t="s">
        <v>70</v>
      </c>
      <c r="H25" s="59">
        <v>590.20000000000005</v>
      </c>
      <c r="I25" s="59">
        <v>505.7</v>
      </c>
      <c r="J25" s="59">
        <v>-1464.7</v>
      </c>
      <c r="K25" s="59">
        <v>241.7</v>
      </c>
      <c r="L25" s="59">
        <v>1271.3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</row>
    <row r="26" spans="1:18" x14ac:dyDescent="0.3">
      <c r="D26" s="14" t="s">
        <v>112</v>
      </c>
      <c r="F26" s="14" t="s">
        <v>70</v>
      </c>
      <c r="H26" s="59">
        <v>-3969</v>
      </c>
      <c r="I26" s="59">
        <v>-2733.9</v>
      </c>
      <c r="J26" s="59">
        <v>-4069.4</v>
      </c>
      <c r="K26" s="59">
        <v>-5040.2</v>
      </c>
      <c r="L26" s="59">
        <v>-6290.2</v>
      </c>
      <c r="M26" s="56">
        <f>'Income Statement'!M19</f>
        <v>-9524.0309299364817</v>
      </c>
      <c r="N26" s="56">
        <f>'Income Statement'!N19</f>
        <v>-10181.204499888096</v>
      </c>
      <c r="O26" s="56">
        <f>'Income Statement'!O19</f>
        <v>-10511.289080331655</v>
      </c>
      <c r="P26" s="56">
        <f>'Income Statement'!P19</f>
        <v>-10796.616822918659</v>
      </c>
      <c r="Q26" s="56">
        <f>'Income Statement'!Q19</f>
        <v>-11028.701399959999</v>
      </c>
    </row>
    <row r="27" spans="1:18" x14ac:dyDescent="0.3">
      <c r="A27" s="32" t="s">
        <v>299</v>
      </c>
      <c r="B27" s="32"/>
      <c r="C27" s="33" t="s">
        <v>113</v>
      </c>
      <c r="D27" s="34"/>
      <c r="E27" s="34"/>
      <c r="F27" s="6" t="s">
        <v>70</v>
      </c>
      <c r="G27" s="34"/>
      <c r="H27" s="62">
        <f>SUM(H19:H26)</f>
        <v>11110.2</v>
      </c>
      <c r="I27" s="62">
        <f t="shared" ref="I27:Q27" si="2">SUM(I19:I26)</f>
        <v>16825.000000000004</v>
      </c>
      <c r="J27" s="62">
        <f t="shared" si="2"/>
        <v>19480.699999999993</v>
      </c>
      <c r="K27" s="62">
        <f t="shared" si="2"/>
        <v>19128.399999999998</v>
      </c>
      <c r="L27" s="62">
        <f t="shared" si="2"/>
        <v>19630.3</v>
      </c>
      <c r="M27" s="62">
        <f>SUM(M19:M26)</f>
        <v>23675.275468624888</v>
      </c>
      <c r="N27" s="62">
        <f t="shared" si="2"/>
        <v>25087.747274171626</v>
      </c>
      <c r="O27" s="62">
        <f t="shared" si="2"/>
        <v>27172.280731316321</v>
      </c>
      <c r="P27" s="62">
        <f t="shared" si="2"/>
        <v>29316.13894039861</v>
      </c>
      <c r="Q27" s="62">
        <f t="shared" si="2"/>
        <v>31514.929145063641</v>
      </c>
    </row>
    <row r="28" spans="1:18" x14ac:dyDescent="0.3">
      <c r="C28" s="17" t="s">
        <v>114</v>
      </c>
      <c r="H28" s="60"/>
      <c r="I28" s="60"/>
      <c r="J28" s="60"/>
      <c r="K28" s="60"/>
      <c r="L28" s="60"/>
      <c r="M28" s="51"/>
      <c r="N28" s="51"/>
      <c r="O28" s="51"/>
      <c r="P28" s="51"/>
      <c r="Q28" s="51"/>
    </row>
    <row r="29" spans="1:18" x14ac:dyDescent="0.3">
      <c r="D29" s="14" t="s">
        <v>115</v>
      </c>
      <c r="F29" s="14" t="s">
        <v>70</v>
      </c>
      <c r="H29" s="59">
        <v>-3388.8</v>
      </c>
      <c r="I29" s="59">
        <v>-2329.1</v>
      </c>
      <c r="J29" s="59">
        <v>-2592.9</v>
      </c>
      <c r="K29" s="59">
        <v>-6756.2</v>
      </c>
      <c r="L29" s="59">
        <v>-6172.6</v>
      </c>
      <c r="M29" s="56">
        <f>-'Depreciation &amp; Amortisation'!M4</f>
        <v>-1804.2572197422005</v>
      </c>
      <c r="N29" s="56">
        <f>-'Depreciation &amp; Amortisation'!N4</f>
        <v>-3446.6325390602688</v>
      </c>
      <c r="O29" s="56">
        <f>-'Depreciation &amp; Amortisation'!O4</f>
        <v>-3700.8405687277009</v>
      </c>
      <c r="P29" s="56">
        <f>-'Depreciation &amp; Amortisation'!P4</f>
        <v>-3954.6908245753543</v>
      </c>
      <c r="Q29" s="56">
        <f>-'Depreciation &amp; Amortisation'!Q4</f>
        <v>-4206.9649528025566</v>
      </c>
    </row>
    <row r="30" spans="1:18" x14ac:dyDescent="0.3">
      <c r="D30" s="14" t="s">
        <v>116</v>
      </c>
      <c r="F30" s="14" t="s">
        <v>70</v>
      </c>
      <c r="H30" s="59">
        <v>109</v>
      </c>
      <c r="I30" s="59">
        <v>32</v>
      </c>
      <c r="J30" s="59">
        <v>724.8</v>
      </c>
      <c r="K30" s="59">
        <v>408.4</v>
      </c>
      <c r="L30" s="59">
        <v>1303.0999999999999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35"/>
    </row>
    <row r="31" spans="1:18" x14ac:dyDescent="0.3">
      <c r="D31" s="14" t="s">
        <v>166</v>
      </c>
      <c r="F31" s="14" t="s">
        <v>70</v>
      </c>
      <c r="H31" s="59">
        <v>-409.3</v>
      </c>
      <c r="I31" s="59">
        <v>-2175.3000000000002</v>
      </c>
      <c r="J31" s="59">
        <v>1605.4</v>
      </c>
      <c r="K31" s="59">
        <v>2975.8</v>
      </c>
      <c r="L31" s="59">
        <v>550.6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35"/>
    </row>
    <row r="32" spans="1:18" x14ac:dyDescent="0.3">
      <c r="D32" s="14" t="s">
        <v>132</v>
      </c>
      <c r="F32" s="14" t="s">
        <v>70</v>
      </c>
      <c r="H32" s="59">
        <v>-11641.8</v>
      </c>
      <c r="I32" s="59">
        <v>4129.8</v>
      </c>
      <c r="J32" s="59">
        <v>-12217</v>
      </c>
      <c r="K32" s="59">
        <v>-12764.4</v>
      </c>
      <c r="L32" s="59">
        <v>-13531.9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35"/>
    </row>
    <row r="33" spans="1:18" x14ac:dyDescent="0.3">
      <c r="D33" s="14" t="s">
        <v>117</v>
      </c>
      <c r="F33" s="14" t="s">
        <v>70</v>
      </c>
      <c r="H33" s="59">
        <v>1.9</v>
      </c>
      <c r="I33" s="59">
        <v>1.9</v>
      </c>
      <c r="J33" s="59">
        <v>1.9</v>
      </c>
      <c r="K33" s="59">
        <v>1.7</v>
      </c>
      <c r="L33" s="59">
        <v>0.8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35"/>
    </row>
    <row r="34" spans="1:18" x14ac:dyDescent="0.3">
      <c r="D34" s="14" t="s">
        <v>118</v>
      </c>
      <c r="F34" s="14" t="s">
        <v>70</v>
      </c>
      <c r="H34" s="59">
        <v>977.7</v>
      </c>
      <c r="I34" s="59">
        <v>1469.1</v>
      </c>
      <c r="J34" s="59">
        <v>2392.8000000000002</v>
      </c>
      <c r="K34" s="59">
        <v>3477.1</v>
      </c>
      <c r="L34" s="59">
        <v>3276.3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</row>
    <row r="35" spans="1:18" x14ac:dyDescent="0.3">
      <c r="D35" s="14" t="s">
        <v>133</v>
      </c>
      <c r="F35" s="14" t="s">
        <v>70</v>
      </c>
      <c r="H35" s="59">
        <v>0</v>
      </c>
      <c r="I35" s="59">
        <v>0</v>
      </c>
      <c r="J35" s="59">
        <v>0</v>
      </c>
      <c r="K35" s="59">
        <v>-330</v>
      </c>
      <c r="L35" s="59">
        <v>-44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</row>
    <row r="36" spans="1:18" x14ac:dyDescent="0.3">
      <c r="D36" s="14" t="s">
        <v>134</v>
      </c>
      <c r="F36" s="14" t="s">
        <v>70</v>
      </c>
      <c r="H36" s="59">
        <v>0</v>
      </c>
      <c r="I36" s="59">
        <v>0</v>
      </c>
      <c r="J36" s="59">
        <v>0</v>
      </c>
      <c r="K36" s="59">
        <v>0</v>
      </c>
      <c r="L36" s="59">
        <v>-2054.4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</row>
    <row r="37" spans="1:18" x14ac:dyDescent="0.3">
      <c r="A37" s="32" t="s">
        <v>299</v>
      </c>
      <c r="B37" s="32"/>
      <c r="C37" s="33" t="s">
        <v>119</v>
      </c>
      <c r="D37" s="34"/>
      <c r="E37" s="34"/>
      <c r="F37" s="6" t="s">
        <v>70</v>
      </c>
      <c r="G37" s="34"/>
      <c r="H37" s="62">
        <f t="shared" ref="H37:Q37" si="3">SUM(H29:H36)</f>
        <v>-14351.3</v>
      </c>
      <c r="I37" s="62">
        <f t="shared" si="3"/>
        <v>1128.4000000000005</v>
      </c>
      <c r="J37" s="62">
        <f t="shared" si="3"/>
        <v>-10085</v>
      </c>
      <c r="K37" s="62">
        <f t="shared" si="3"/>
        <v>-12987.599999999999</v>
      </c>
      <c r="L37" s="62">
        <f t="shared" si="3"/>
        <v>-16672.100000000002</v>
      </c>
      <c r="M37" s="62">
        <f t="shared" si="3"/>
        <v>-1804.2572197422005</v>
      </c>
      <c r="N37" s="62">
        <f t="shared" si="3"/>
        <v>-3446.6325390602688</v>
      </c>
      <c r="O37" s="62">
        <f t="shared" si="3"/>
        <v>-3700.8405687277009</v>
      </c>
      <c r="P37" s="62">
        <f t="shared" si="3"/>
        <v>-3954.6908245753543</v>
      </c>
      <c r="Q37" s="62">
        <f t="shared" si="3"/>
        <v>-4206.9649528025566</v>
      </c>
    </row>
    <row r="38" spans="1:18" x14ac:dyDescent="0.3">
      <c r="C38" s="17" t="s">
        <v>120</v>
      </c>
      <c r="H38" s="60"/>
      <c r="I38" s="60"/>
      <c r="J38" s="60"/>
      <c r="K38" s="60"/>
      <c r="L38" s="60"/>
      <c r="M38" s="51"/>
      <c r="N38" s="51"/>
      <c r="O38" s="51"/>
      <c r="P38" s="51"/>
      <c r="Q38" s="51"/>
    </row>
    <row r="39" spans="1:18" x14ac:dyDescent="0.3">
      <c r="D39" s="14" t="s">
        <v>136</v>
      </c>
      <c r="F39" s="14" t="s">
        <v>70</v>
      </c>
      <c r="H39" s="63">
        <v>8627.8000000000011</v>
      </c>
      <c r="I39" s="63">
        <v>-12784.8</v>
      </c>
      <c r="J39" s="63">
        <v>-4808.8999999999996</v>
      </c>
      <c r="K39" s="63">
        <v>-1941.1000000000004</v>
      </c>
      <c r="L39" s="63">
        <v>2486.1</v>
      </c>
      <c r="M39" s="56">
        <f>-Debt!M12+5900.4</f>
        <v>5565.4</v>
      </c>
      <c r="N39" s="56">
        <f>-Debt!N12</f>
        <v>-1082.47</v>
      </c>
      <c r="O39" s="56">
        <f>-Debt!O12</f>
        <v>-1082.47</v>
      </c>
      <c r="P39" s="56">
        <f>-Debt!P12</f>
        <v>-853.90000000000009</v>
      </c>
      <c r="Q39" s="56">
        <f>-Debt!Q12</f>
        <v>-853.90000000000009</v>
      </c>
    </row>
    <row r="40" spans="1:18" x14ac:dyDescent="0.3">
      <c r="D40" s="14" t="s">
        <v>129</v>
      </c>
      <c r="F40" s="14" t="s">
        <v>70</v>
      </c>
      <c r="H40" s="59">
        <v>0</v>
      </c>
      <c r="I40" s="59">
        <v>1614.8</v>
      </c>
      <c r="J40" s="59">
        <v>0</v>
      </c>
      <c r="K40" s="59">
        <v>0</v>
      </c>
      <c r="L40" s="59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</row>
    <row r="41" spans="1:18" x14ac:dyDescent="0.3">
      <c r="D41" s="14" t="s">
        <v>135</v>
      </c>
      <c r="F41" s="14" t="s">
        <v>70</v>
      </c>
      <c r="H41" s="59">
        <v>0</v>
      </c>
      <c r="I41" s="59">
        <v>0</v>
      </c>
      <c r="J41" s="59">
        <v>0</v>
      </c>
      <c r="K41" s="59">
        <v>0</v>
      </c>
      <c r="L41" s="59">
        <v>262.10000000000002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</row>
    <row r="42" spans="1:18" s="36" customFormat="1" x14ac:dyDescent="0.3">
      <c r="A42" s="13"/>
      <c r="B42" s="13"/>
      <c r="C42" s="13"/>
      <c r="D42" s="14" t="s">
        <v>121</v>
      </c>
      <c r="E42" s="14"/>
      <c r="F42" s="14" t="s">
        <v>70</v>
      </c>
      <c r="G42" s="14"/>
      <c r="H42" s="59">
        <v>-4219.1000000000004</v>
      </c>
      <c r="I42" s="59">
        <v>-5295.2</v>
      </c>
      <c r="J42" s="59">
        <v>-5404.9</v>
      </c>
      <c r="K42" s="59">
        <v>-5046.2</v>
      </c>
      <c r="L42" s="59">
        <v>-6137</v>
      </c>
      <c r="M42" s="85">
        <f>-'Income Statement'!M32</f>
        <v>-5299.6623723033645</v>
      </c>
      <c r="N42" s="85">
        <f>-'Income Statement'!N32</f>
        <v>-5665.3476652603113</v>
      </c>
      <c r="O42" s="85">
        <f>-'Income Statement'!O32</f>
        <v>-6131.5852968601321</v>
      </c>
      <c r="P42" s="85">
        <f>-'Income Statement'!P32</f>
        <v>-6608.2740898898701</v>
      </c>
      <c r="Q42" s="85">
        <f>-'Income Statement'!Q32</f>
        <v>-7089.8794714028545</v>
      </c>
    </row>
    <row r="43" spans="1:18" x14ac:dyDescent="0.3">
      <c r="D43" s="14" t="s">
        <v>122</v>
      </c>
      <c r="F43" s="14" t="s">
        <v>70</v>
      </c>
      <c r="H43" s="59">
        <v>-211.7</v>
      </c>
      <c r="I43" s="59">
        <v>-238.4</v>
      </c>
      <c r="J43" s="59">
        <v>-323.2</v>
      </c>
      <c r="K43" s="59">
        <v>-316.5</v>
      </c>
      <c r="L43" s="59">
        <v>-410.4</v>
      </c>
      <c r="M43" s="51">
        <f>SUM('Balance sheet'!M41,'Balance sheet'!M32)-SUM('Balance sheet'!L41,'Balance sheet'!L32)</f>
        <v>0</v>
      </c>
      <c r="N43" s="51">
        <f>SUM('Balance sheet'!N41,'Balance sheet'!N32)-SUM('Balance sheet'!M41,'Balance sheet'!M32)</f>
        <v>0</v>
      </c>
      <c r="O43" s="51">
        <f>SUM('Balance sheet'!O41,'Balance sheet'!O32)-SUM('Balance sheet'!N41,'Balance sheet'!N32)</f>
        <v>0</v>
      </c>
      <c r="P43" s="51">
        <f>SUM('Balance sheet'!P41,'Balance sheet'!P32)-SUM('Balance sheet'!O41,'Balance sheet'!O32)</f>
        <v>0</v>
      </c>
      <c r="Q43" s="51">
        <f>SUM('Balance sheet'!Q41,'Balance sheet'!Q32)-SUM('Balance sheet'!P41,'Balance sheet'!P32)</f>
        <v>0</v>
      </c>
    </row>
    <row r="44" spans="1:18" x14ac:dyDescent="0.3">
      <c r="D44" s="14" t="s">
        <v>123</v>
      </c>
      <c r="F44" s="14" t="s">
        <v>70</v>
      </c>
      <c r="H44" s="59">
        <v>-401.3</v>
      </c>
      <c r="I44" s="59">
        <v>-904.6</v>
      </c>
      <c r="J44" s="59">
        <v>-913.1</v>
      </c>
      <c r="K44" s="59">
        <v>-806.1</v>
      </c>
      <c r="L44" s="59">
        <v>-1234.8</v>
      </c>
      <c r="M44" s="56">
        <f>'Income Statement'!M14</f>
        <v>-1461.1499999999999</v>
      </c>
      <c r="N44" s="56">
        <f>'Income Statement'!N14</f>
        <v>-1431</v>
      </c>
      <c r="O44" s="56">
        <f>'Income Statement'!O14</f>
        <v>-1333.5777</v>
      </c>
      <c r="P44" s="56">
        <f>'Income Statement'!P14</f>
        <v>-1236.1554000000001</v>
      </c>
      <c r="Q44" s="56">
        <f>'Income Statement'!Q14</f>
        <v>-1159.3044000000002</v>
      </c>
    </row>
    <row r="45" spans="1:18" x14ac:dyDescent="0.3">
      <c r="A45" s="32" t="s">
        <v>299</v>
      </c>
      <c r="B45" s="32"/>
      <c r="C45" s="33" t="s">
        <v>124</v>
      </c>
      <c r="D45" s="34"/>
      <c r="E45" s="34"/>
      <c r="F45" s="34" t="s">
        <v>70</v>
      </c>
      <c r="G45" s="34"/>
      <c r="H45" s="62">
        <f t="shared" ref="H45:Q45" si="4">SUM(H39:H44)</f>
        <v>3795.7000000000007</v>
      </c>
      <c r="I45" s="62">
        <f t="shared" si="4"/>
        <v>-17608.2</v>
      </c>
      <c r="J45" s="62">
        <f t="shared" si="4"/>
        <v>-11450.1</v>
      </c>
      <c r="K45" s="62">
        <f t="shared" si="4"/>
        <v>-8109.9000000000005</v>
      </c>
      <c r="L45" s="62">
        <f t="shared" si="4"/>
        <v>-5034</v>
      </c>
      <c r="M45" s="62">
        <f t="shared" si="4"/>
        <v>-1195.4123723033647</v>
      </c>
      <c r="N45" s="62">
        <f t="shared" si="4"/>
        <v>-8178.8176652603115</v>
      </c>
      <c r="O45" s="62">
        <f t="shared" si="4"/>
        <v>-8547.6329968601331</v>
      </c>
      <c r="P45" s="62">
        <f t="shared" si="4"/>
        <v>-8698.3294898898694</v>
      </c>
      <c r="Q45" s="62">
        <f t="shared" si="4"/>
        <v>-9103.0838714028559</v>
      </c>
    </row>
    <row r="46" spans="1:18" x14ac:dyDescent="0.3">
      <c r="D46" s="14" t="s">
        <v>125</v>
      </c>
      <c r="F46" s="14" t="s">
        <v>70</v>
      </c>
      <c r="H46" s="59">
        <v>554.6</v>
      </c>
      <c r="I46" s="59">
        <v>345.2</v>
      </c>
      <c r="J46" s="59">
        <v>-2054.4</v>
      </c>
      <c r="K46" s="59">
        <v>-1969.1</v>
      </c>
      <c r="L46" s="59">
        <v>-2075.8000000000002</v>
      </c>
      <c r="M46" s="51">
        <f>SUM(M27,M37,M45)</f>
        <v>20675.60587657932</v>
      </c>
      <c r="N46" s="51">
        <f>SUM(N27,N37,N45)</f>
        <v>13462.297069851047</v>
      </c>
      <c r="O46" s="51">
        <f>SUM(O27,O37,O45)</f>
        <v>14923.807165728487</v>
      </c>
      <c r="P46" s="51">
        <f>SUM(P27,P37,P45)</f>
        <v>16663.118625933384</v>
      </c>
      <c r="Q46" s="51">
        <f>SUM(Q27,Q37,Q45)</f>
        <v>18204.880320858225</v>
      </c>
    </row>
    <row r="47" spans="1:18" x14ac:dyDescent="0.3">
      <c r="D47" s="14" t="s">
        <v>126</v>
      </c>
      <c r="F47" s="14" t="s">
        <v>70</v>
      </c>
      <c r="H47" s="59">
        <v>1742.2</v>
      </c>
      <c r="I47" s="59">
        <v>2321.8000000000002</v>
      </c>
      <c r="J47" s="59">
        <v>2738</v>
      </c>
      <c r="K47" s="59">
        <v>663.1</v>
      </c>
      <c r="L47" s="59">
        <v>-1200.9000000000001</v>
      </c>
      <c r="M47" s="51">
        <f>L49</f>
        <v>-3421.3</v>
      </c>
      <c r="N47" s="51">
        <f>M49</f>
        <v>17254.305876579321</v>
      </c>
      <c r="O47" s="51">
        <f>N49</f>
        <v>30716.602946430368</v>
      </c>
      <c r="P47" s="51">
        <f>O49</f>
        <v>45640.410112158854</v>
      </c>
      <c r="Q47" s="51">
        <f>P49</f>
        <v>62303.528738092238</v>
      </c>
    </row>
    <row r="48" spans="1:18" x14ac:dyDescent="0.3">
      <c r="D48" s="14" t="s">
        <v>127</v>
      </c>
      <c r="F48" s="14" t="s">
        <v>70</v>
      </c>
      <c r="H48" s="59">
        <v>25</v>
      </c>
      <c r="I48" s="59">
        <v>71</v>
      </c>
      <c r="J48" s="59">
        <v>-20.5</v>
      </c>
      <c r="K48" s="59">
        <v>105.1</v>
      </c>
      <c r="L48" s="59">
        <v>-144.6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</row>
    <row r="49" spans="1:17" x14ac:dyDescent="0.3">
      <c r="A49" s="33"/>
      <c r="B49" s="33"/>
      <c r="C49" s="6" t="s">
        <v>128</v>
      </c>
      <c r="D49" s="6"/>
      <c r="E49" s="6"/>
      <c r="F49" s="6" t="s">
        <v>70</v>
      </c>
      <c r="G49" s="6"/>
      <c r="H49" s="62">
        <f t="shared" ref="H49:Q49" si="5">SUM(H46:H48)</f>
        <v>2321.8000000000002</v>
      </c>
      <c r="I49" s="62">
        <f t="shared" si="5"/>
        <v>2738</v>
      </c>
      <c r="J49" s="62">
        <f t="shared" si="5"/>
        <v>663.09999999999991</v>
      </c>
      <c r="K49" s="62">
        <f t="shared" si="5"/>
        <v>-1200.9000000000001</v>
      </c>
      <c r="L49" s="62">
        <f t="shared" si="5"/>
        <v>-3421.3</v>
      </c>
      <c r="M49" s="62">
        <f t="shared" si="5"/>
        <v>17254.305876579321</v>
      </c>
      <c r="N49" s="62">
        <f t="shared" si="5"/>
        <v>30716.602946430368</v>
      </c>
      <c r="O49" s="62">
        <f t="shared" si="5"/>
        <v>45640.410112158854</v>
      </c>
      <c r="P49" s="62">
        <f t="shared" si="5"/>
        <v>62303.528738092238</v>
      </c>
      <c r="Q49" s="62">
        <f t="shared" si="5"/>
        <v>80508.409058950463</v>
      </c>
    </row>
    <row r="51" spans="1:17" x14ac:dyDescent="0.3">
      <c r="H51" s="15"/>
    </row>
    <row r="52" spans="1:17" x14ac:dyDescent="0.3">
      <c r="H52" s="15"/>
      <c r="I52" s="15"/>
      <c r="J52" s="15"/>
      <c r="K52" s="15"/>
      <c r="L52" s="15"/>
    </row>
    <row r="53" spans="1:17" x14ac:dyDescent="0.3">
      <c r="L53" s="15"/>
    </row>
  </sheetData>
  <mergeCells count="2">
    <mergeCell ref="H1:L1"/>
    <mergeCell ref="M1:Q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9896-1C46-4CAA-BAAF-58D50C7D8BCC}">
  <dimension ref="A1:Q15"/>
  <sheetViews>
    <sheetView showGridLines="0" topLeftCell="C1" workbookViewId="0">
      <pane xSplit="5" ySplit="2" topLeftCell="H3" activePane="bottomRight" state="frozen"/>
      <selection activeCell="S21" sqref="S21"/>
      <selection pane="topRight" activeCell="S21" sqref="S21"/>
      <selection pane="bottomLeft" activeCell="S21" sqref="S21"/>
      <selection pane="bottomRight" activeCell="J26" sqref="J26"/>
    </sheetView>
  </sheetViews>
  <sheetFormatPr defaultRowHeight="14.4" x14ac:dyDescent="0.3"/>
  <cols>
    <col min="1" max="3" width="1.296875" style="13" customWidth="1"/>
    <col min="4" max="4" width="40.69921875" style="14" customWidth="1"/>
    <col min="5" max="5" width="13.8984375" style="14" bestFit="1" customWidth="1"/>
    <col min="6" max="6" width="10.69921875" style="14" customWidth="1"/>
    <col min="7" max="7" width="2.69921875" style="14" customWidth="1"/>
    <col min="8" max="12" width="7.8984375" style="14" bestFit="1" customWidth="1"/>
    <col min="13" max="17" width="7.8984375" style="3" bestFit="1" customWidth="1"/>
    <col min="18" max="16384" width="8.796875" style="1"/>
  </cols>
  <sheetData>
    <row r="1" spans="1:17" ht="25.05" customHeight="1" thickBot="1" x14ac:dyDescent="0.65">
      <c r="A1" s="7"/>
      <c r="B1" s="8"/>
      <c r="C1" s="7" t="s">
        <v>300</v>
      </c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17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17" x14ac:dyDescent="0.3">
      <c r="C3" s="17"/>
      <c r="D3" s="16" t="s">
        <v>5</v>
      </c>
      <c r="E3" s="64" t="s">
        <v>150</v>
      </c>
      <c r="F3" s="65" t="s">
        <v>149</v>
      </c>
      <c r="H3" s="28">
        <f>'Income Statement'!H3</f>
        <v>106341.9</v>
      </c>
      <c r="I3" s="28">
        <f>'Income Statement'!I3</f>
        <v>115992.6</v>
      </c>
      <c r="J3" s="28">
        <f>'Income Statement'!J3</f>
        <v>126675.8</v>
      </c>
      <c r="K3" s="28">
        <f>'Income Statement'!K3</f>
        <v>129645.2</v>
      </c>
      <c r="L3" s="28">
        <f>'Income Statement'!L3</f>
        <v>147122.70000000001</v>
      </c>
      <c r="M3" s="40">
        <f>L3*(1+M4)</f>
        <v>159668.78050815934</v>
      </c>
      <c r="N3" s="40">
        <f>M3*(1+N4)</f>
        <v>172331.62695301345</v>
      </c>
      <c r="O3" s="40">
        <f>N3*(1+O4)</f>
        <v>185042.02843638504</v>
      </c>
      <c r="P3" s="40">
        <f>O3*(1+P4)</f>
        <v>197734.54122876772</v>
      </c>
      <c r="Q3" s="40">
        <f>P3*(1+Q4)</f>
        <v>210348.24764012784</v>
      </c>
    </row>
    <row r="4" spans="1:17" x14ac:dyDescent="0.3">
      <c r="C4" s="17"/>
      <c r="D4" s="14" t="s">
        <v>148</v>
      </c>
      <c r="E4" s="14" t="s">
        <v>143</v>
      </c>
      <c r="F4" s="30" t="s">
        <v>137</v>
      </c>
      <c r="I4" s="30">
        <f>(I3/H3)-1</f>
        <v>9.0751622831640288E-2</v>
      </c>
      <c r="J4" s="30">
        <f>(J3/I3)-1</f>
        <v>9.2102427223805572E-2</v>
      </c>
      <c r="K4" s="30">
        <f>(K3/J3)-1</f>
        <v>2.3440941363701562E-2</v>
      </c>
      <c r="L4" s="30">
        <f>(L3/K3)-1</f>
        <v>0.1348102359362322</v>
      </c>
      <c r="M4" s="39">
        <f>CHOOSE($E$5,M7:Q7,M8:Q8,M9:Q9)</f>
        <v>8.5276306838844906E-2</v>
      </c>
      <c r="N4" s="39">
        <f>CHOOSE($E$5,N7:R7,N8:R8,N9:R9)</f>
        <v>7.9306965360125756E-2</v>
      </c>
      <c r="O4" s="39">
        <f>CHOOSE($E$5,O7:S7,O8:S8,O9:S9)</f>
        <v>7.3755477784916951E-2</v>
      </c>
      <c r="P4" s="39">
        <f>CHOOSE($E$5,P7:T7,P8:T8,P9:T9)</f>
        <v>6.8592594339972765E-2</v>
      </c>
      <c r="Q4" s="39">
        <f>CHOOSE($E$5,Q7:U7,Q8:U8,Q9:U9)</f>
        <v>6.3791112736174674E-2</v>
      </c>
    </row>
    <row r="5" spans="1:17" x14ac:dyDescent="0.3">
      <c r="C5" s="17"/>
      <c r="D5" s="16"/>
      <c r="E5" s="14">
        <f>IF(E4=D7,1,IF(E4=D8,2,3))</f>
        <v>1</v>
      </c>
      <c r="F5" s="37"/>
      <c r="M5" s="40"/>
      <c r="N5" s="40"/>
      <c r="O5" s="40"/>
      <c r="P5" s="40"/>
      <c r="Q5" s="40"/>
    </row>
    <row r="6" spans="1:17" x14ac:dyDescent="0.3">
      <c r="D6" s="64" t="s">
        <v>146</v>
      </c>
      <c r="E6" s="64"/>
      <c r="F6" s="64" t="s">
        <v>147</v>
      </c>
    </row>
    <row r="7" spans="1:17" x14ac:dyDescent="0.3">
      <c r="D7" s="14" t="s">
        <v>143</v>
      </c>
      <c r="F7" s="30">
        <f>AVERAGE(I4:L4)</f>
        <v>8.5276306838844906E-2</v>
      </c>
      <c r="M7" s="38">
        <f>F7</f>
        <v>8.5276306838844906E-2</v>
      </c>
      <c r="N7" s="38">
        <f>M7*(1-$F$10)</f>
        <v>7.9306965360125756E-2</v>
      </c>
      <c r="O7" s="38">
        <f>N7*(1-$F$10)</f>
        <v>7.3755477784916951E-2</v>
      </c>
      <c r="P7" s="38">
        <f>O7*(1-$F$10)</f>
        <v>6.8592594339972765E-2</v>
      </c>
      <c r="Q7" s="38">
        <f>P7*(1-$F$10)</f>
        <v>6.3791112736174674E-2</v>
      </c>
    </row>
    <row r="8" spans="1:17" x14ac:dyDescent="0.3">
      <c r="D8" s="14" t="s">
        <v>144</v>
      </c>
      <c r="F8" s="30">
        <f>MAX(I4:L4)</f>
        <v>0.1348102359362322</v>
      </c>
      <c r="M8" s="38">
        <f>F8</f>
        <v>0.1348102359362322</v>
      </c>
      <c r="N8" s="38">
        <f t="shared" ref="N8:Q9" si="1">M8*(1-$F$10)</f>
        <v>0.12537351942069594</v>
      </c>
      <c r="O8" s="38">
        <f t="shared" si="1"/>
        <v>0.11659737306124722</v>
      </c>
      <c r="P8" s="38">
        <f t="shared" si="1"/>
        <v>0.1084355569469599</v>
      </c>
      <c r="Q8" s="38">
        <f t="shared" si="1"/>
        <v>0.1008450679606727</v>
      </c>
    </row>
    <row r="9" spans="1:17" x14ac:dyDescent="0.3">
      <c r="D9" s="14" t="s">
        <v>145</v>
      </c>
      <c r="F9" s="30">
        <f>MIN(I4:L4)</f>
        <v>2.3440941363701562E-2</v>
      </c>
      <c r="M9" s="38">
        <f>F9</f>
        <v>2.3440941363701562E-2</v>
      </c>
      <c r="N9" s="38">
        <f t="shared" si="1"/>
        <v>2.180007546824245E-2</v>
      </c>
      <c r="O9" s="38">
        <f t="shared" si="1"/>
        <v>2.0274070185465478E-2</v>
      </c>
      <c r="P9" s="38">
        <f t="shared" si="1"/>
        <v>1.8854885272482892E-2</v>
      </c>
      <c r="Q9" s="38">
        <f t="shared" si="1"/>
        <v>1.753504330340909E-2</v>
      </c>
    </row>
    <row r="10" spans="1:17" x14ac:dyDescent="0.3">
      <c r="D10" s="14" t="s">
        <v>323</v>
      </c>
      <c r="F10" s="39">
        <v>7.0000000000000007E-2</v>
      </c>
    </row>
    <row r="11" spans="1:17" x14ac:dyDescent="0.3">
      <c r="F11" s="39"/>
    </row>
    <row r="12" spans="1:17" x14ac:dyDescent="0.3">
      <c r="D12" s="80" t="s">
        <v>168</v>
      </c>
    </row>
    <row r="13" spans="1:17" x14ac:dyDescent="0.3">
      <c r="D13" s="14" t="s">
        <v>169</v>
      </c>
    </row>
    <row r="14" spans="1:17" x14ac:dyDescent="0.3">
      <c r="D14" s="14" t="s">
        <v>77</v>
      </c>
    </row>
    <row r="15" spans="1:17" x14ac:dyDescent="0.3">
      <c r="D15" s="14" t="s">
        <v>78</v>
      </c>
    </row>
  </sheetData>
  <mergeCells count="2">
    <mergeCell ref="H1:L1"/>
    <mergeCell ref="M1:Q1"/>
  </mergeCells>
  <dataValidations count="1">
    <dataValidation type="list" allowBlank="1" showInputMessage="1" showErrorMessage="1" sqref="E4" xr:uid="{4A27D46C-EF9B-4E93-91AF-B5D672D803DF}">
      <formula1>$D$7:$D$9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0F55-DE36-485A-BEDA-DDE33DB18FEC}">
  <dimension ref="A1:R18"/>
  <sheetViews>
    <sheetView showGridLines="0" workbookViewId="0">
      <selection activeCell="N22" sqref="N22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12" width="7.8984375" style="14" bestFit="1" customWidth="1"/>
    <col min="13" max="17" width="7.8984375" style="3" bestFit="1" customWidth="1"/>
    <col min="18" max="18" width="11.3984375" style="1" bestFit="1" customWidth="1"/>
    <col min="19" max="16384" width="8.796875" style="1"/>
  </cols>
  <sheetData>
    <row r="1" spans="1:18" ht="25.05" customHeight="1" thickBot="1" x14ac:dyDescent="0.65">
      <c r="A1" s="7" t="s">
        <v>301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18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18" x14ac:dyDescent="0.3">
      <c r="C3" s="16" t="s">
        <v>5</v>
      </c>
      <c r="F3" s="14" t="s">
        <v>70</v>
      </c>
      <c r="H3" s="28">
        <f>'Income Statement'!H3</f>
        <v>106341.9</v>
      </c>
      <c r="I3" s="28">
        <f>'Income Statement'!I3</f>
        <v>115992.6</v>
      </c>
      <c r="J3" s="28">
        <f>'Income Statement'!J3</f>
        <v>126675.8</v>
      </c>
      <c r="K3" s="28">
        <f>'Income Statement'!K3</f>
        <v>129645.2</v>
      </c>
      <c r="L3" s="28">
        <f>'Income Statement'!L3</f>
        <v>147122.70000000001</v>
      </c>
      <c r="M3" s="41">
        <f>'Income Statement'!M3</f>
        <v>159668.78050815934</v>
      </c>
      <c r="N3" s="41">
        <f>'Income Statement'!N3</f>
        <v>172331.62695301345</v>
      </c>
      <c r="O3" s="41">
        <f>'Income Statement'!O3</f>
        <v>185042.02843638504</v>
      </c>
      <c r="P3" s="41">
        <f>'Income Statement'!P3</f>
        <v>197734.54122876772</v>
      </c>
      <c r="Q3" s="41">
        <f>'Income Statement'!Q3</f>
        <v>210348.24764012784</v>
      </c>
    </row>
    <row r="4" spans="1:18" x14ac:dyDescent="0.3">
      <c r="D4" s="14" t="s">
        <v>6</v>
      </c>
      <c r="F4" s="14" t="s">
        <v>70</v>
      </c>
      <c r="H4" s="28">
        <f>-'Income Statement'!H4</f>
        <v>32260.6</v>
      </c>
      <c r="I4" s="28">
        <f>-'Income Statement'!I4</f>
        <v>30569.200000000001</v>
      </c>
      <c r="J4" s="28">
        <f>-'Income Statement'!J4</f>
        <v>32945.9</v>
      </c>
      <c r="K4" s="28">
        <f>-'Income Statement'!K4</f>
        <v>34403.699999999997</v>
      </c>
      <c r="L4" s="28">
        <f>-'Income Statement'!L4</f>
        <v>35653.9</v>
      </c>
      <c r="M4" s="45">
        <f>M3*M12</f>
        <v>38320.507321958241</v>
      </c>
      <c r="N4" s="45">
        <f>N3*N12</f>
        <v>41359.590468723225</v>
      </c>
      <c r="O4" s="45">
        <f>O3*O12</f>
        <v>44410.086824732411</v>
      </c>
      <c r="P4" s="45">
        <f>P3*P12</f>
        <v>47456.28989490425</v>
      </c>
      <c r="Q4" s="45">
        <f>Q3*Q12</f>
        <v>50483.579433630679</v>
      </c>
    </row>
    <row r="5" spans="1:18" x14ac:dyDescent="0.3">
      <c r="D5" s="14" t="s">
        <v>7</v>
      </c>
      <c r="F5" s="14" t="s">
        <v>70</v>
      </c>
      <c r="H5" s="28">
        <f>-'Income Statement'!H5</f>
        <v>14897.1</v>
      </c>
      <c r="I5" s="28">
        <f>-'Income Statement'!I5</f>
        <v>13875.5</v>
      </c>
      <c r="J5" s="28">
        <f>-'Income Statement'!J5</f>
        <v>16288.7</v>
      </c>
      <c r="K5" s="28">
        <f>-'Income Statement'!K5</f>
        <v>15140.2</v>
      </c>
      <c r="L5" s="28">
        <f>-'Income Statement'!L5</f>
        <v>16945.5</v>
      </c>
      <c r="M5" s="45">
        <f>M3*M13</f>
        <v>19160.25366097912</v>
      </c>
      <c r="N5" s="45">
        <f>N3*N13</f>
        <v>20679.795234361613</v>
      </c>
      <c r="O5" s="45">
        <f>O3*O13</f>
        <v>22205.043412366205</v>
      </c>
      <c r="P5" s="45">
        <f>P3*P13</f>
        <v>23728.144947452125</v>
      </c>
      <c r="Q5" s="45">
        <f>Q3*Q13</f>
        <v>25241.789716815339</v>
      </c>
    </row>
    <row r="6" spans="1:18" x14ac:dyDescent="0.3">
      <c r="D6" s="14" t="s">
        <v>8</v>
      </c>
      <c r="F6" s="14" t="s">
        <v>70</v>
      </c>
      <c r="H6" s="28">
        <f>'Income Statement'!H6</f>
        <v>5354.8</v>
      </c>
      <c r="I6" s="28">
        <f>'Income Statement'!I6</f>
        <v>-4623.7</v>
      </c>
      <c r="J6" s="28">
        <f>'Income Statement'!J6</f>
        <v>-141.19999999999999</v>
      </c>
      <c r="K6" s="28">
        <f>'Income Statement'!K6</f>
        <v>1901.3</v>
      </c>
      <c r="L6" s="28">
        <f>'Income Statement'!L6</f>
        <v>1671.2</v>
      </c>
      <c r="M6" s="46">
        <f>M3*M14</f>
        <v>1437.0190245734339</v>
      </c>
      <c r="N6" s="46">
        <f>N3*N14</f>
        <v>1550.9846425771209</v>
      </c>
      <c r="O6" s="46">
        <f>O3*O14</f>
        <v>1665.3782559274653</v>
      </c>
      <c r="P6" s="46">
        <f>P3*P14</f>
        <v>1779.6108710589094</v>
      </c>
      <c r="Q6" s="46">
        <f>Q3*Q14</f>
        <v>1893.1342287611503</v>
      </c>
    </row>
    <row r="7" spans="1:18" x14ac:dyDescent="0.3">
      <c r="C7" s="5" t="s">
        <v>79</v>
      </c>
      <c r="D7" s="54"/>
      <c r="E7" s="54"/>
      <c r="F7" s="54" t="s">
        <v>70</v>
      </c>
      <c r="G7" s="54"/>
      <c r="H7" s="48">
        <f>SUM(H4:H6)</f>
        <v>52512.5</v>
      </c>
      <c r="I7" s="48">
        <f t="shared" ref="I7:Q7" si="1">SUM(I4:I6)</f>
        <v>39821</v>
      </c>
      <c r="J7" s="48">
        <f t="shared" si="1"/>
        <v>49093.400000000009</v>
      </c>
      <c r="K7" s="48">
        <f t="shared" si="1"/>
        <v>51445.2</v>
      </c>
      <c r="L7" s="48">
        <f t="shared" si="1"/>
        <v>54270.6</v>
      </c>
      <c r="M7" s="48">
        <f t="shared" si="1"/>
        <v>58917.780007510795</v>
      </c>
      <c r="N7" s="48">
        <f t="shared" si="1"/>
        <v>63590.370345661955</v>
      </c>
      <c r="O7" s="48">
        <f t="shared" si="1"/>
        <v>68280.508493026078</v>
      </c>
      <c r="P7" s="48">
        <f t="shared" si="1"/>
        <v>72964.045713415282</v>
      </c>
      <c r="Q7" s="48">
        <f t="shared" si="1"/>
        <v>77618.503379207163</v>
      </c>
      <c r="R7" s="52"/>
    </row>
    <row r="8" spans="1:18" x14ac:dyDescent="0.3">
      <c r="D8" s="14" t="s">
        <v>10</v>
      </c>
      <c r="F8" s="14" t="s">
        <v>70</v>
      </c>
      <c r="H8" s="28">
        <f>-'Income Statement'!H9</f>
        <v>19627.099999999999</v>
      </c>
      <c r="I8" s="28">
        <f>-'Income Statement'!I9</f>
        <v>21313.5</v>
      </c>
      <c r="J8" s="28">
        <f>-'Income Statement'!J9</f>
        <v>22010.1</v>
      </c>
      <c r="K8" s="28">
        <f>-'Income Statement'!K9</f>
        <v>24539.200000000001</v>
      </c>
      <c r="L8" s="28">
        <f>-'Income Statement'!L9</f>
        <v>28371.1</v>
      </c>
      <c r="M8" s="45">
        <f>(M3*M$15)</f>
        <v>30337.068296550275</v>
      </c>
      <c r="N8" s="45">
        <f>(N3*N$15)</f>
        <v>32743.009121072555</v>
      </c>
      <c r="O8" s="45">
        <f>(O3*O$15)</f>
        <v>35157.98540291316</v>
      </c>
      <c r="P8" s="45">
        <f>(P3*P$15)</f>
        <v>37569.562833465869</v>
      </c>
      <c r="Q8" s="45">
        <f>(Q3*Q$15)</f>
        <v>39966.167051624288</v>
      </c>
    </row>
    <row r="9" spans="1:18" x14ac:dyDescent="0.3">
      <c r="D9" s="14" t="s">
        <v>11</v>
      </c>
      <c r="F9" s="14" t="s">
        <v>70</v>
      </c>
      <c r="H9" s="28">
        <f>-'Income Statement'!H10</f>
        <v>24382.7</v>
      </c>
      <c r="I9" s="28">
        <f>-'Income Statement'!I10</f>
        <v>29516.2</v>
      </c>
      <c r="J9" s="28">
        <f>-'Income Statement'!J10</f>
        <v>32835</v>
      </c>
      <c r="K9" s="28">
        <f>-'Income Statement'!K10</f>
        <v>32341.9</v>
      </c>
      <c r="L9" s="28">
        <f>-'Income Statement'!L10</f>
        <v>37771.800000000003</v>
      </c>
      <c r="M9" s="45">
        <f>(M3*M$16)</f>
        <v>39917.195127039835</v>
      </c>
      <c r="N9" s="45">
        <f>(N3*N$16)</f>
        <v>43082.906738253361</v>
      </c>
      <c r="O9" s="45">
        <f>(O3*O$16)</f>
        <v>46260.507109096259</v>
      </c>
      <c r="P9" s="45">
        <f>(P3*P$16)</f>
        <v>49433.635307191929</v>
      </c>
      <c r="Q9" s="45">
        <f>(Q3*Q$16)</f>
        <v>52587.06191003196</v>
      </c>
    </row>
    <row r="10" spans="1:18" x14ac:dyDescent="0.3">
      <c r="C10" s="53" t="s">
        <v>138</v>
      </c>
      <c r="D10" s="54"/>
      <c r="E10" s="54"/>
      <c r="F10" s="5" t="s">
        <v>70</v>
      </c>
      <c r="G10" s="54"/>
      <c r="H10" s="48">
        <f>SUM(H8:H9)</f>
        <v>44009.8</v>
      </c>
      <c r="I10" s="48">
        <f t="shared" ref="I10:Q10" si="2">SUM(I8:I9)</f>
        <v>50829.7</v>
      </c>
      <c r="J10" s="48">
        <f t="shared" si="2"/>
        <v>54845.1</v>
      </c>
      <c r="K10" s="48">
        <f t="shared" si="2"/>
        <v>56881.100000000006</v>
      </c>
      <c r="L10" s="48">
        <f t="shared" si="2"/>
        <v>66142.899999999994</v>
      </c>
      <c r="M10" s="48">
        <f t="shared" si="2"/>
        <v>70254.263423590106</v>
      </c>
      <c r="N10" s="48">
        <f t="shared" si="2"/>
        <v>75825.91585932592</v>
      </c>
      <c r="O10" s="48">
        <f t="shared" si="2"/>
        <v>81418.492512009427</v>
      </c>
      <c r="P10" s="48">
        <f t="shared" si="2"/>
        <v>87003.198140657798</v>
      </c>
      <c r="Q10" s="48">
        <f t="shared" si="2"/>
        <v>92553.228961656248</v>
      </c>
    </row>
    <row r="11" spans="1:18" x14ac:dyDescent="0.3">
      <c r="C11" s="134" t="s">
        <v>139</v>
      </c>
    </row>
    <row r="12" spans="1:18" x14ac:dyDescent="0.3">
      <c r="D12" s="14" t="s">
        <v>151</v>
      </c>
      <c r="F12" s="14" t="s">
        <v>137</v>
      </c>
      <c r="H12" s="30">
        <f>(H4/H3)</f>
        <v>0.30336678204922046</v>
      </c>
      <c r="I12" s="30">
        <f>(I4/I3)</f>
        <v>0.26354439852197464</v>
      </c>
      <c r="J12" s="30">
        <f>(J4/J3)</f>
        <v>0.26008045735649588</v>
      </c>
      <c r="K12" s="30">
        <f>(K4/K3)</f>
        <v>0.26536809692915742</v>
      </c>
      <c r="L12" s="30">
        <f>(L4/L3)</f>
        <v>0.24234125665176073</v>
      </c>
      <c r="M12" s="38">
        <v>0.24</v>
      </c>
      <c r="N12" s="38">
        <f>M12</f>
        <v>0.24</v>
      </c>
      <c r="O12" s="38">
        <f>N12</f>
        <v>0.24</v>
      </c>
      <c r="P12" s="38">
        <f>O12</f>
        <v>0.24</v>
      </c>
      <c r="Q12" s="38">
        <f>P12</f>
        <v>0.24</v>
      </c>
    </row>
    <row r="13" spans="1:18" x14ac:dyDescent="0.3">
      <c r="D13" s="14" t="s">
        <v>152</v>
      </c>
      <c r="F13" s="14" t="s">
        <v>137</v>
      </c>
      <c r="H13" s="30">
        <f>H5/H3</f>
        <v>0.14008683312974474</v>
      </c>
      <c r="I13" s="30">
        <f>I5/I3</f>
        <v>0.11962401049722136</v>
      </c>
      <c r="J13" s="30">
        <f>J5/J3</f>
        <v>0.12858572829222314</v>
      </c>
      <c r="K13" s="30">
        <f>K5/K3</f>
        <v>0.11678180140876794</v>
      </c>
      <c r="L13" s="30">
        <f>L5/L3</f>
        <v>0.11517937068854771</v>
      </c>
      <c r="M13" s="38">
        <v>0.12</v>
      </c>
      <c r="N13" s="38">
        <v>0.12</v>
      </c>
      <c r="O13" s="38">
        <v>0.12</v>
      </c>
      <c r="P13" s="38">
        <v>0.12</v>
      </c>
      <c r="Q13" s="38">
        <v>0.12</v>
      </c>
    </row>
    <row r="14" spans="1:18" x14ac:dyDescent="0.3">
      <c r="D14" s="14" t="s">
        <v>153</v>
      </c>
      <c r="F14" s="14" t="s">
        <v>137</v>
      </c>
      <c r="H14" s="30">
        <f>H6/H3</f>
        <v>5.0354563911308714E-2</v>
      </c>
      <c r="I14" s="30">
        <f>I6/I3</f>
        <v>-3.9862025680948605E-2</v>
      </c>
      <c r="J14" s="30">
        <f>J6/J3</f>
        <v>-1.1146564695071986E-3</v>
      </c>
      <c r="K14" s="30">
        <f>K6/K3</f>
        <v>1.4665409903336183E-2</v>
      </c>
      <c r="L14" s="30">
        <f>L6/L3</f>
        <v>1.1359226006591776E-2</v>
      </c>
      <c r="M14" s="38">
        <v>8.9999999999999993E-3</v>
      </c>
      <c r="N14" s="38">
        <v>8.9999999999999993E-3</v>
      </c>
      <c r="O14" s="38">
        <v>8.9999999999999993E-3</v>
      </c>
      <c r="P14" s="38">
        <v>8.9999999999999993E-3</v>
      </c>
      <c r="Q14" s="38">
        <v>8.9999999999999993E-3</v>
      </c>
    </row>
    <row r="15" spans="1:18" x14ac:dyDescent="0.3">
      <c r="D15" s="14" t="s">
        <v>140</v>
      </c>
      <c r="F15" s="14" t="s">
        <v>137</v>
      </c>
      <c r="H15" s="30">
        <f>(H8/H3)</f>
        <v>0.18456600831845207</v>
      </c>
      <c r="I15" s="30">
        <f>(I8/I3)</f>
        <v>0.18374879087114177</v>
      </c>
      <c r="J15" s="30">
        <f>(J8/J3)</f>
        <v>0.17375141897663168</v>
      </c>
      <c r="K15" s="30">
        <f>(K8/K3)</f>
        <v>0.18927966480826133</v>
      </c>
      <c r="L15" s="30">
        <f>(L8/L3)</f>
        <v>0.19283971814002868</v>
      </c>
      <c r="M15" s="44">
        <v>0.19</v>
      </c>
      <c r="N15" s="44">
        <v>0.19</v>
      </c>
      <c r="O15" s="44">
        <v>0.19</v>
      </c>
      <c r="P15" s="44">
        <v>0.19</v>
      </c>
      <c r="Q15" s="44">
        <v>0.19</v>
      </c>
    </row>
    <row r="16" spans="1:18" x14ac:dyDescent="0.3">
      <c r="D16" s="14" t="s">
        <v>141</v>
      </c>
      <c r="F16" s="14" t="s">
        <v>137</v>
      </c>
      <c r="H16" s="30">
        <f>(H9/H3)</f>
        <v>0.22928591646378335</v>
      </c>
      <c r="I16" s="30">
        <f>(I9/I3)</f>
        <v>0.25446623319073802</v>
      </c>
      <c r="J16" s="30">
        <f>(J9/J3)</f>
        <v>0.25920499416621012</v>
      </c>
      <c r="K16" s="30">
        <f>(K9/K3)</f>
        <v>0.24946469286946221</v>
      </c>
      <c r="L16" s="30">
        <f>(L9/L3)</f>
        <v>0.25673672383663432</v>
      </c>
      <c r="M16" s="44">
        <v>0.25</v>
      </c>
      <c r="N16" s="44">
        <v>0.25</v>
      </c>
      <c r="O16" s="44">
        <v>0.25</v>
      </c>
      <c r="P16" s="44">
        <v>0.25</v>
      </c>
      <c r="Q16" s="44">
        <v>0.25</v>
      </c>
    </row>
    <row r="18" spans="8:12" x14ac:dyDescent="0.3">
      <c r="H18" s="42"/>
      <c r="I18" s="42"/>
      <c r="J18" s="42"/>
      <c r="K18" s="42"/>
      <c r="L18" s="43"/>
    </row>
  </sheetData>
  <mergeCells count="2">
    <mergeCell ref="H1:L1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BAB5-D575-4031-AD16-E8B9B34F0FA2}">
  <dimension ref="A1:Q22"/>
  <sheetViews>
    <sheetView showGridLines="0" workbookViewId="0">
      <selection activeCell="Q14" sqref="Q14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12" width="7.8984375" style="14" bestFit="1" customWidth="1"/>
    <col min="13" max="17" width="7.8984375" style="3" bestFit="1" customWidth="1"/>
    <col min="18" max="16384" width="8.796875" style="1"/>
  </cols>
  <sheetData>
    <row r="1" spans="1:17" ht="25.05" customHeight="1" thickBot="1" x14ac:dyDescent="0.65">
      <c r="A1" s="7" t="s">
        <v>302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17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17" x14ac:dyDescent="0.3">
      <c r="D3" s="14" t="s">
        <v>87</v>
      </c>
      <c r="F3" s="14" t="s">
        <v>70</v>
      </c>
      <c r="H3" s="28">
        <f>'Income Statement'!H3</f>
        <v>106341.9</v>
      </c>
      <c r="I3" s="28">
        <f>'Income Statement'!I3</f>
        <v>115992.6</v>
      </c>
      <c r="J3" s="28">
        <f>'Income Statement'!J3</f>
        <v>126675.8</v>
      </c>
      <c r="K3" s="28">
        <f>'Income Statement'!K3</f>
        <v>129645.2</v>
      </c>
      <c r="L3" s="28">
        <f>'Income Statement'!L3</f>
        <v>147122.70000000001</v>
      </c>
      <c r="M3" s="41">
        <f>'Income Statement'!M3</f>
        <v>159668.78050815934</v>
      </c>
      <c r="N3" s="41">
        <f>'Income Statement'!N3</f>
        <v>172331.62695301345</v>
      </c>
      <c r="O3" s="41">
        <f>'Income Statement'!O3</f>
        <v>185042.02843638504</v>
      </c>
      <c r="P3" s="41">
        <f>'Income Statement'!P3</f>
        <v>197734.54122876772</v>
      </c>
      <c r="Q3" s="41">
        <f>'Income Statement'!Q3</f>
        <v>210348.24764012784</v>
      </c>
    </row>
    <row r="4" spans="1:17" x14ac:dyDescent="0.3">
      <c r="D4" s="54" t="s">
        <v>88</v>
      </c>
      <c r="E4" s="54"/>
      <c r="F4" s="54" t="s">
        <v>70</v>
      </c>
      <c r="G4" s="54"/>
      <c r="H4" s="67">
        <f>-'Income Statement'!H7</f>
        <v>41802.899999999994</v>
      </c>
      <c r="I4" s="67">
        <f>-'Income Statement'!I7</f>
        <v>49068.399999999994</v>
      </c>
      <c r="J4" s="67">
        <f>-'Income Statement'!J7</f>
        <v>49375.8</v>
      </c>
      <c r="K4" s="67">
        <f>-'Income Statement'!K7</f>
        <v>47642.599999999991</v>
      </c>
      <c r="L4" s="67">
        <f>-'Income Statement'!L7</f>
        <v>50928.200000000004</v>
      </c>
      <c r="M4" s="67">
        <f>-'Income Statement'!M7</f>
        <v>58917.780007510795</v>
      </c>
      <c r="N4" s="67">
        <f>-'Income Statement'!N7</f>
        <v>63590.370345661955</v>
      </c>
      <c r="O4" s="67">
        <f>-'Income Statement'!O7</f>
        <v>68280.508493026078</v>
      </c>
      <c r="P4" s="67">
        <f>-'Income Statement'!P7</f>
        <v>72964.045713415282</v>
      </c>
      <c r="Q4" s="67">
        <f>-'Income Statement'!Q7</f>
        <v>77618.503379207163</v>
      </c>
    </row>
    <row r="5" spans="1:17" x14ac:dyDescent="0.3">
      <c r="D5" s="14" t="s">
        <v>81</v>
      </c>
      <c r="F5" s="14" t="s">
        <v>70</v>
      </c>
      <c r="H5" s="28">
        <f>'Balance sheet'!H6</f>
        <v>18846</v>
      </c>
      <c r="I5" s="28">
        <f>'Balance sheet'!I6</f>
        <v>21321.8</v>
      </c>
      <c r="J5" s="28">
        <f>'Balance sheet'!J6</f>
        <v>22528.1</v>
      </c>
      <c r="K5" s="28">
        <f>'Balance sheet'!K6</f>
        <v>24662.5</v>
      </c>
      <c r="L5" s="28">
        <f>'Balance sheet'!L6</f>
        <v>29791.1</v>
      </c>
      <c r="M5" s="40">
        <f t="shared" ref="M5:Q6" si="1">(M3*M11)/365</f>
        <v>31933.756101631869</v>
      </c>
      <c r="N5" s="40">
        <f t="shared" si="1"/>
        <v>34466.325390602688</v>
      </c>
      <c r="O5" s="40">
        <f t="shared" si="1"/>
        <v>37008.405687277009</v>
      </c>
      <c r="P5" s="40">
        <f t="shared" si="1"/>
        <v>39546.908245753541</v>
      </c>
      <c r="Q5" s="40">
        <f t="shared" si="1"/>
        <v>42069.649528025569</v>
      </c>
    </row>
    <row r="6" spans="1:17" x14ac:dyDescent="0.3">
      <c r="D6" s="14" t="s">
        <v>82</v>
      </c>
      <c r="F6" s="14" t="s">
        <v>70</v>
      </c>
      <c r="G6" s="22"/>
      <c r="H6" s="28">
        <f>'Balance sheet'!H7</f>
        <v>30055.3</v>
      </c>
      <c r="I6" s="28">
        <f>'Balance sheet'!I7</f>
        <v>26075.3</v>
      </c>
      <c r="J6" s="28">
        <f>'Balance sheet'!J7</f>
        <v>26611.8</v>
      </c>
      <c r="K6" s="28">
        <f>'Balance sheet'!K7</f>
        <v>29224.1</v>
      </c>
      <c r="L6" s="28">
        <f>'Balance sheet'!L7</f>
        <v>33332.199999999997</v>
      </c>
      <c r="M6" s="25">
        <f t="shared" si="1"/>
        <v>37933.365210315169</v>
      </c>
      <c r="N6" s="25">
        <f t="shared" si="1"/>
        <v>40941.745291042629</v>
      </c>
      <c r="O6" s="25">
        <f t="shared" si="1"/>
        <v>43961.423276331858</v>
      </c>
      <c r="P6" s="25">
        <f t="shared" si="1"/>
        <v>46976.85134973313</v>
      </c>
      <c r="Q6" s="25">
        <f t="shared" si="1"/>
        <v>49973.556970174475</v>
      </c>
    </row>
    <row r="7" spans="1:17" x14ac:dyDescent="0.3">
      <c r="D7" s="14" t="s">
        <v>83</v>
      </c>
      <c r="F7" s="14" t="s">
        <v>70</v>
      </c>
      <c r="G7" s="22"/>
      <c r="H7" s="28">
        <f>'Balance sheet'!H30</f>
        <v>11733.800000000001</v>
      </c>
      <c r="I7" s="28">
        <f>'Balance sheet'!I30</f>
        <v>11650.3</v>
      </c>
      <c r="J7" s="28">
        <f>'Balance sheet'!J30</f>
        <v>17481.2</v>
      </c>
      <c r="K7" s="28">
        <f>'Balance sheet'!K30</f>
        <v>18393.5</v>
      </c>
      <c r="L7" s="28">
        <f>'Balance sheet'!L30</f>
        <v>22441.8</v>
      </c>
      <c r="M7" s="25">
        <f>(M4*M13)/365</f>
        <v>25988.39063344997</v>
      </c>
      <c r="N7" s="25">
        <f>(N4*N13)/365</f>
        <v>28049.451029182397</v>
      </c>
      <c r="O7" s="25">
        <f>(O4*O13)/365</f>
        <v>30118.25169144438</v>
      </c>
      <c r="P7" s="25">
        <f>(P4*P13)/365</f>
        <v>32184.140711944819</v>
      </c>
      <c r="Q7" s="25">
        <f>(Q4*Q13)/365</f>
        <v>34237.202860417405</v>
      </c>
    </row>
    <row r="8" spans="1:17" x14ac:dyDescent="0.3">
      <c r="D8" s="6" t="s">
        <v>91</v>
      </c>
      <c r="E8" s="26"/>
      <c r="F8" s="6" t="s">
        <v>70</v>
      </c>
      <c r="G8" s="26"/>
      <c r="H8" s="27">
        <f t="shared" ref="H8:Q8" si="2">SUM(H5:H6)-H7</f>
        <v>37167.5</v>
      </c>
      <c r="I8" s="27">
        <f t="shared" si="2"/>
        <v>35746.800000000003</v>
      </c>
      <c r="J8" s="27">
        <f t="shared" si="2"/>
        <v>31658.699999999993</v>
      </c>
      <c r="K8" s="27">
        <f t="shared" si="2"/>
        <v>35493.1</v>
      </c>
      <c r="L8" s="27">
        <f t="shared" si="2"/>
        <v>40681.5</v>
      </c>
      <c r="M8" s="27">
        <f t="shared" si="2"/>
        <v>43878.730678497064</v>
      </c>
      <c r="N8" s="27">
        <f t="shared" si="2"/>
        <v>47358.619652462919</v>
      </c>
      <c r="O8" s="27">
        <f t="shared" si="2"/>
        <v>50851.577272164475</v>
      </c>
      <c r="P8" s="27">
        <f t="shared" si="2"/>
        <v>54339.618883541851</v>
      </c>
      <c r="Q8" s="27">
        <f t="shared" si="2"/>
        <v>57806.00363778264</v>
      </c>
    </row>
    <row r="9" spans="1:17" x14ac:dyDescent="0.3">
      <c r="D9" s="14" t="s">
        <v>92</v>
      </c>
      <c r="E9" s="22"/>
      <c r="F9" s="14" t="s">
        <v>70</v>
      </c>
      <c r="G9" s="22"/>
      <c r="H9" s="25"/>
      <c r="I9" s="60">
        <f>H8-I8</f>
        <v>1420.6999999999971</v>
      </c>
      <c r="J9" s="60">
        <f t="shared" ref="J9:Q9" si="3">I8-J8</f>
        <v>4088.1000000000095</v>
      </c>
      <c r="K9" s="60">
        <f t="shared" si="3"/>
        <v>-3834.4000000000051</v>
      </c>
      <c r="L9" s="60">
        <f t="shared" si="3"/>
        <v>-5188.4000000000015</v>
      </c>
      <c r="M9" s="60">
        <f t="shared" si="3"/>
        <v>-3197.2306784970642</v>
      </c>
      <c r="N9" s="60">
        <f t="shared" si="3"/>
        <v>-3479.8889739658553</v>
      </c>
      <c r="O9" s="60">
        <f t="shared" si="3"/>
        <v>-3492.9576197015558</v>
      </c>
      <c r="P9" s="60">
        <f t="shared" si="3"/>
        <v>-3488.0416113773754</v>
      </c>
      <c r="Q9" s="60">
        <f t="shared" si="3"/>
        <v>-3466.3847542407893</v>
      </c>
    </row>
    <row r="10" spans="1:17" x14ac:dyDescent="0.3">
      <c r="C10" s="5" t="s">
        <v>139</v>
      </c>
      <c r="D10" s="54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54"/>
      <c r="P10" s="54"/>
      <c r="Q10" s="54"/>
    </row>
    <row r="11" spans="1:17" x14ac:dyDescent="0.3">
      <c r="D11" s="14" t="s">
        <v>84</v>
      </c>
      <c r="E11" s="22"/>
      <c r="F11" s="22" t="s">
        <v>90</v>
      </c>
      <c r="G11" s="22"/>
      <c r="H11" s="24">
        <f>(H5/H3)*365</f>
        <v>64.685603699012347</v>
      </c>
      <c r="I11" s="24">
        <f>(I5/I3)*365</f>
        <v>67.094426713428263</v>
      </c>
      <c r="J11" s="24">
        <f>(J5/J3)*365</f>
        <v>64.911818200477114</v>
      </c>
      <c r="K11" s="24">
        <f>(K5/K3)*365</f>
        <v>69.434213530466224</v>
      </c>
      <c r="L11" s="24">
        <f>(L5/L3)*365</f>
        <v>73.909406910014553</v>
      </c>
      <c r="M11" s="29">
        <v>73</v>
      </c>
      <c r="N11" s="29">
        <v>73</v>
      </c>
      <c r="O11" s="29">
        <v>73</v>
      </c>
      <c r="P11" s="29">
        <v>73</v>
      </c>
      <c r="Q11" s="29">
        <v>73</v>
      </c>
    </row>
    <row r="12" spans="1:17" x14ac:dyDescent="0.3">
      <c r="D12" s="14" t="s">
        <v>85</v>
      </c>
      <c r="E12" s="22"/>
      <c r="F12" s="22" t="s">
        <v>90</v>
      </c>
      <c r="G12" s="22"/>
      <c r="H12" s="24">
        <f t="shared" ref="H12:L13" si="4">(H6/H$4)*365</f>
        <v>262.42639864698384</v>
      </c>
      <c r="I12" s="24">
        <f t="shared" si="4"/>
        <v>193.96362017102661</v>
      </c>
      <c r="J12" s="24">
        <f t="shared" si="4"/>
        <v>196.72201766857447</v>
      </c>
      <c r="K12" s="24">
        <f t="shared" si="4"/>
        <v>223.89198952198245</v>
      </c>
      <c r="L12" s="24">
        <f t="shared" si="4"/>
        <v>238.89030046221933</v>
      </c>
      <c r="M12" s="29">
        <v>235</v>
      </c>
      <c r="N12" s="29">
        <v>235</v>
      </c>
      <c r="O12" s="29">
        <v>235</v>
      </c>
      <c r="P12" s="29">
        <v>235</v>
      </c>
      <c r="Q12" s="29">
        <v>235</v>
      </c>
    </row>
    <row r="13" spans="1:17" x14ac:dyDescent="0.3">
      <c r="D13" s="14" t="s">
        <v>86</v>
      </c>
      <c r="E13" s="22"/>
      <c r="F13" s="22" t="s">
        <v>90</v>
      </c>
      <c r="G13" s="22"/>
      <c r="H13" s="24">
        <f t="shared" si="4"/>
        <v>102.45310732030555</v>
      </c>
      <c r="I13" s="24">
        <f t="shared" si="4"/>
        <v>86.661874037058482</v>
      </c>
      <c r="J13" s="24">
        <f t="shared" si="4"/>
        <v>129.2260176037654</v>
      </c>
      <c r="K13" s="24">
        <f t="shared" si="4"/>
        <v>140.91648020888871</v>
      </c>
      <c r="L13" s="24">
        <f t="shared" si="4"/>
        <v>160.83931888423308</v>
      </c>
      <c r="M13" s="29">
        <f>161</f>
        <v>161</v>
      </c>
      <c r="N13" s="29">
        <f>161</f>
        <v>161</v>
      </c>
      <c r="O13" s="29">
        <f>161</f>
        <v>161</v>
      </c>
      <c r="P13" s="29">
        <f>161</f>
        <v>161</v>
      </c>
      <c r="Q13" s="29">
        <f>161</f>
        <v>161</v>
      </c>
    </row>
    <row r="14" spans="1:17" x14ac:dyDescent="0.3">
      <c r="D14" s="34" t="s">
        <v>89</v>
      </c>
      <c r="E14" s="210"/>
      <c r="F14" s="210" t="s">
        <v>90</v>
      </c>
      <c r="G14" s="210"/>
      <c r="H14" s="208">
        <f>SUM(H11:H12)-H13</f>
        <v>224.65889502569064</v>
      </c>
      <c r="I14" s="208">
        <f t="shared" ref="I14:Q14" si="5">SUM(I11:I12)-I13</f>
        <v>174.3961728473964</v>
      </c>
      <c r="J14" s="208">
        <f t="shared" si="5"/>
        <v>132.40781826528621</v>
      </c>
      <c r="K14" s="208">
        <f t="shared" si="5"/>
        <v>152.40972284355999</v>
      </c>
      <c r="L14" s="208">
        <f t="shared" si="5"/>
        <v>151.96038848800083</v>
      </c>
      <c r="M14" s="211">
        <f t="shared" si="5"/>
        <v>147</v>
      </c>
      <c r="N14" s="211">
        <f t="shared" si="5"/>
        <v>147</v>
      </c>
      <c r="O14" s="211">
        <f t="shared" si="5"/>
        <v>147</v>
      </c>
      <c r="P14" s="211">
        <f t="shared" si="5"/>
        <v>147</v>
      </c>
      <c r="Q14" s="211">
        <f t="shared" si="5"/>
        <v>147</v>
      </c>
    </row>
    <row r="15" spans="1:17" x14ac:dyDescent="0.3"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7" x14ac:dyDescent="0.3"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5:17" x14ac:dyDescent="0.3"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5:17" x14ac:dyDescent="0.3"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5:17" x14ac:dyDescent="0.3"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5:17" x14ac:dyDescent="0.3"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2" spans="5:17" x14ac:dyDescent="0.3">
      <c r="E22" s="23"/>
      <c r="F22" s="23"/>
      <c r="I22" s="23"/>
    </row>
  </sheetData>
  <mergeCells count="2">
    <mergeCell ref="H1:L1"/>
    <mergeCell ref="M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C70A-3F3F-46E5-865A-C571001B8AD3}">
  <dimension ref="A1:Y17"/>
  <sheetViews>
    <sheetView showGridLines="0" workbookViewId="0">
      <pane xSplit="7" ySplit="2" topLeftCell="H3" activePane="bottomRight" state="frozen"/>
      <selection activeCell="S21" sqref="S21"/>
      <selection pane="topRight" activeCell="S21" sqref="S21"/>
      <selection pane="bottomLeft" activeCell="S21" sqref="S21"/>
      <selection pane="bottomRight" activeCell="S21" sqref="S21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12" width="6.69921875" style="14" bestFit="1" customWidth="1"/>
    <col min="13" max="17" width="6.69921875" style="3" bestFit="1" customWidth="1"/>
    <col min="18" max="18" width="6.296875" style="1" bestFit="1" customWidth="1"/>
    <col min="19" max="20" width="7.19921875" style="1" bestFit="1" customWidth="1"/>
    <col min="21" max="22" width="6.296875" style="1" bestFit="1" customWidth="1"/>
    <col min="23" max="23" width="8" style="1" bestFit="1" customWidth="1"/>
    <col min="24" max="24" width="5" style="1" bestFit="1" customWidth="1"/>
    <col min="25" max="25" width="8.8984375" style="1" bestFit="1" customWidth="1"/>
    <col min="26" max="16384" width="8.796875" style="1"/>
  </cols>
  <sheetData>
    <row r="1" spans="1:25" ht="25.05" customHeight="1" thickBot="1" x14ac:dyDescent="0.65">
      <c r="A1" s="7" t="s">
        <v>204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25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  <c r="R2" s="89">
        <v>2027</v>
      </c>
      <c r="S2" s="89">
        <f>1+R2</f>
        <v>2028</v>
      </c>
      <c r="T2" s="89">
        <f>1+S2</f>
        <v>2029</v>
      </c>
      <c r="U2" s="89">
        <f>1+T2</f>
        <v>2030</v>
      </c>
      <c r="V2" s="89">
        <f>1+U2</f>
        <v>2031</v>
      </c>
      <c r="W2" s="142" t="s">
        <v>254</v>
      </c>
      <c r="X2" s="142" t="s">
        <v>255</v>
      </c>
      <c r="Y2" s="142" t="s">
        <v>256</v>
      </c>
    </row>
    <row r="3" spans="1:25" x14ac:dyDescent="0.3">
      <c r="D3" s="14" t="s">
        <v>245</v>
      </c>
      <c r="F3" s="65" t="s">
        <v>70</v>
      </c>
      <c r="H3" s="25"/>
      <c r="I3" s="25">
        <f>H6</f>
        <v>25801.200000000001</v>
      </c>
      <c r="J3" s="25">
        <f t="shared" ref="J3:Q3" si="1">I6</f>
        <v>13071.5</v>
      </c>
      <c r="K3" s="25">
        <f t="shared" si="1"/>
        <v>12139.7</v>
      </c>
      <c r="L3" s="25">
        <f t="shared" si="1"/>
        <v>10627.9</v>
      </c>
      <c r="M3" s="25">
        <f t="shared" si="1"/>
        <v>16235</v>
      </c>
      <c r="N3" s="25">
        <f t="shared" si="1"/>
        <v>15900</v>
      </c>
      <c r="O3" s="25">
        <f t="shared" si="1"/>
        <v>14817.53</v>
      </c>
      <c r="P3" s="25">
        <f t="shared" si="1"/>
        <v>13735.060000000001</v>
      </c>
      <c r="Q3" s="25">
        <f t="shared" si="1"/>
        <v>12881.160000000002</v>
      </c>
      <c r="R3" s="91">
        <v>228.57</v>
      </c>
      <c r="S3" s="91">
        <v>228.57</v>
      </c>
      <c r="T3" s="91">
        <v>228.57</v>
      </c>
      <c r="U3" s="91">
        <v>0</v>
      </c>
      <c r="V3" s="91">
        <v>0</v>
      </c>
      <c r="W3" s="91">
        <v>800</v>
      </c>
      <c r="X3" s="91">
        <v>14</v>
      </c>
      <c r="Y3" s="115">
        <f>W3/X3</f>
        <v>57.142857142857146</v>
      </c>
    </row>
    <row r="4" spans="1:25" x14ac:dyDescent="0.3">
      <c r="D4" s="14" t="s">
        <v>249</v>
      </c>
      <c r="F4" s="65" t="s">
        <v>70</v>
      </c>
      <c r="H4" s="25"/>
      <c r="I4" s="25"/>
      <c r="J4" s="25"/>
      <c r="K4" s="25"/>
      <c r="L4" s="25"/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91">
        <v>106.43</v>
      </c>
      <c r="S4" s="91">
        <v>425.72</v>
      </c>
      <c r="T4" s="91">
        <v>425.72</v>
      </c>
      <c r="U4" s="91">
        <v>425.72</v>
      </c>
      <c r="V4" s="91">
        <v>425.72</v>
      </c>
      <c r="W4" s="90">
        <v>2128.6</v>
      </c>
      <c r="X4" s="91">
        <v>20</v>
      </c>
      <c r="Y4" s="115">
        <f>W4/X4</f>
        <v>106.42999999999999</v>
      </c>
    </row>
    <row r="5" spans="1:25" x14ac:dyDescent="0.3">
      <c r="D5" s="14" t="s">
        <v>248</v>
      </c>
      <c r="F5" s="65" t="s">
        <v>70</v>
      </c>
      <c r="H5" s="25"/>
      <c r="I5" s="25"/>
      <c r="J5" s="25"/>
      <c r="K5" s="25"/>
      <c r="L5" s="25"/>
      <c r="M5" s="60">
        <f>-R6</f>
        <v>-335</v>
      </c>
      <c r="N5" s="60">
        <f>-S6</f>
        <v>-1082.47</v>
      </c>
      <c r="O5" s="60">
        <f>-T6</f>
        <v>-1082.47</v>
      </c>
      <c r="P5" s="60">
        <f>-U6</f>
        <v>-853.90000000000009</v>
      </c>
      <c r="Q5" s="60">
        <f>-V6</f>
        <v>-853.90000000000009</v>
      </c>
      <c r="R5" s="91">
        <v>0</v>
      </c>
      <c r="S5" s="91">
        <v>428.18</v>
      </c>
      <c r="T5" s="91">
        <v>428.18</v>
      </c>
      <c r="U5" s="91">
        <v>428.18</v>
      </c>
      <c r="V5" s="91">
        <v>428.18</v>
      </c>
      <c r="W5" s="90">
        <v>2140.9</v>
      </c>
      <c r="X5" s="91">
        <v>20</v>
      </c>
      <c r="Y5" s="115">
        <f>W5/X5</f>
        <v>107.045</v>
      </c>
    </row>
    <row r="6" spans="1:25" x14ac:dyDescent="0.3">
      <c r="D6" s="5" t="s">
        <v>246</v>
      </c>
      <c r="E6" s="5"/>
      <c r="F6" s="87" t="s">
        <v>70</v>
      </c>
      <c r="G6" s="5"/>
      <c r="H6" s="184">
        <f>SUM('Balance sheet'!H40,'Balance sheet'!H31)</f>
        <v>25801.200000000001</v>
      </c>
      <c r="I6" s="184">
        <f>SUM('Balance sheet'!I40,'Balance sheet'!I31)</f>
        <v>13071.5</v>
      </c>
      <c r="J6" s="184">
        <f>SUM('Balance sheet'!J40,'Balance sheet'!J31)</f>
        <v>12139.7</v>
      </c>
      <c r="K6" s="184">
        <f>SUM('Balance sheet'!K40,'Balance sheet'!K31)</f>
        <v>10627.9</v>
      </c>
      <c r="L6" s="184">
        <f>SUM('Balance sheet'!L40,'Balance sheet'!L31)</f>
        <v>16235</v>
      </c>
      <c r="M6" s="48">
        <f>SUM(M3:M5)</f>
        <v>15900</v>
      </c>
      <c r="N6" s="48">
        <f>SUM(N3:N5)</f>
        <v>14817.53</v>
      </c>
      <c r="O6" s="48">
        <f>SUM(O3:O5)</f>
        <v>13735.060000000001</v>
      </c>
      <c r="P6" s="48">
        <f>SUM(P3:P5)</f>
        <v>12881.160000000002</v>
      </c>
      <c r="Q6" s="133">
        <f>SUM(Q3:Q5)</f>
        <v>12027.260000000002</v>
      </c>
      <c r="R6" s="91">
        <f t="shared" ref="R6:W6" si="2">SUM(R3:R5)</f>
        <v>335</v>
      </c>
      <c r="S6" s="91">
        <f t="shared" si="2"/>
        <v>1082.47</v>
      </c>
      <c r="T6" s="91">
        <f t="shared" si="2"/>
        <v>1082.47</v>
      </c>
      <c r="U6" s="91">
        <f t="shared" si="2"/>
        <v>853.90000000000009</v>
      </c>
      <c r="V6" s="91">
        <f t="shared" si="2"/>
        <v>853.90000000000009</v>
      </c>
      <c r="W6" s="143">
        <f t="shared" si="2"/>
        <v>5069.5</v>
      </c>
      <c r="X6" s="91"/>
      <c r="Y6" s="91"/>
    </row>
    <row r="8" spans="1:25" x14ac:dyDescent="0.3">
      <c r="D8" s="14" t="s">
        <v>247</v>
      </c>
      <c r="F8" s="65" t="s">
        <v>70</v>
      </c>
      <c r="H8" s="77">
        <f>'Income Statement'!H14</f>
        <v>-523.70000000000005</v>
      </c>
      <c r="I8" s="77">
        <f>'Income Statement'!I14</f>
        <v>-1073.5999999999999</v>
      </c>
      <c r="J8" s="77">
        <f>'Income Statement'!J14</f>
        <v>-1124.0999999999999</v>
      </c>
      <c r="K8" s="77">
        <f>'Income Statement'!K14</f>
        <v>-1217</v>
      </c>
      <c r="L8" s="77">
        <f>'Income Statement'!L14</f>
        <v>-1607.8</v>
      </c>
      <c r="M8" s="51">
        <f>-M3*M9</f>
        <v>-1461.1499999999999</v>
      </c>
      <c r="N8" s="51">
        <f>-N3*N9</f>
        <v>-1431</v>
      </c>
      <c r="O8" s="51">
        <f>-O3*O9</f>
        <v>-1333.5777</v>
      </c>
      <c r="P8" s="51">
        <f>-P3*P9</f>
        <v>-1236.1554000000001</v>
      </c>
      <c r="Q8" s="51">
        <f>-Q3*Q9</f>
        <v>-1159.3044000000002</v>
      </c>
    </row>
    <row r="9" spans="1:25" x14ac:dyDescent="0.3">
      <c r="D9" s="54" t="s">
        <v>174</v>
      </c>
      <c r="E9" s="54"/>
      <c r="F9" s="54" t="s">
        <v>137</v>
      </c>
      <c r="G9" s="54"/>
      <c r="H9" s="75"/>
      <c r="I9" s="75">
        <f>-I8/AVERAGE(I3,I6)</f>
        <v>5.523670853838298E-2</v>
      </c>
      <c r="J9" s="75">
        <f>-J8/AVERAGE(J3,J6)</f>
        <v>8.9174652535381094E-2</v>
      </c>
      <c r="K9" s="75">
        <f>-K8/AVERAGE(K3,K6)</f>
        <v>0.10690630545160668</v>
      </c>
      <c r="L9" s="75">
        <f>-L8/AVERAGE(L3,L6)</f>
        <v>0.11970412725357277</v>
      </c>
      <c r="M9" s="75">
        <v>0.09</v>
      </c>
      <c r="N9" s="75">
        <f>M9</f>
        <v>0.09</v>
      </c>
      <c r="O9" s="75">
        <f>N9</f>
        <v>0.09</v>
      </c>
      <c r="P9" s="75">
        <f>O9</f>
        <v>0.09</v>
      </c>
      <c r="Q9" s="75">
        <f>P9</f>
        <v>0.09</v>
      </c>
    </row>
    <row r="10" spans="1:25" x14ac:dyDescent="0.3">
      <c r="H10" s="119"/>
      <c r="I10" s="119"/>
      <c r="J10" s="119"/>
      <c r="K10" s="119"/>
      <c r="L10" s="119"/>
    </row>
    <row r="11" spans="1:25" x14ac:dyDescent="0.3">
      <c r="D11" s="135" t="s">
        <v>251</v>
      </c>
      <c r="F11" s="65" t="s">
        <v>70</v>
      </c>
      <c r="H11" s="137"/>
      <c r="I11" s="137"/>
      <c r="J11" s="137"/>
      <c r="K11" s="137"/>
      <c r="L11" s="138">
        <v>10852.5</v>
      </c>
      <c r="M11" s="136">
        <f>L11</f>
        <v>10852.5</v>
      </c>
      <c r="N11" s="136">
        <f>M11</f>
        <v>10852.5</v>
      </c>
      <c r="O11" s="136">
        <f>N11</f>
        <v>10852.5</v>
      </c>
      <c r="P11" s="136">
        <f>O11</f>
        <v>10852.5</v>
      </c>
      <c r="Q11" s="136">
        <f>P11</f>
        <v>10852.5</v>
      </c>
      <c r="R11" s="139"/>
    </row>
    <row r="12" spans="1:25" x14ac:dyDescent="0.3">
      <c r="D12" s="135" t="s">
        <v>252</v>
      </c>
      <c r="F12" s="65" t="s">
        <v>70</v>
      </c>
      <c r="H12" s="137"/>
      <c r="I12" s="137"/>
      <c r="J12" s="137"/>
      <c r="K12" s="137"/>
      <c r="L12" s="138">
        <v>458</v>
      </c>
      <c r="M12" s="140">
        <f>-M5</f>
        <v>335</v>
      </c>
      <c r="N12" s="140">
        <f>-N5</f>
        <v>1082.47</v>
      </c>
      <c r="O12" s="140">
        <f>-O5</f>
        <v>1082.47</v>
      </c>
      <c r="P12" s="140">
        <f>-P5</f>
        <v>853.90000000000009</v>
      </c>
      <c r="Q12" s="140">
        <f>-Q5</f>
        <v>853.90000000000009</v>
      </c>
      <c r="R12" s="139"/>
    </row>
    <row r="13" spans="1:25" x14ac:dyDescent="0.3">
      <c r="D13" s="14" t="s">
        <v>253</v>
      </c>
      <c r="F13" s="65" t="s">
        <v>70</v>
      </c>
      <c r="H13" s="137"/>
      <c r="I13" s="137"/>
      <c r="J13" s="137"/>
      <c r="K13" s="137"/>
      <c r="L13" s="136">
        <f t="shared" ref="L13:Q13" si="3">SUM(L11:L12)</f>
        <v>11310.5</v>
      </c>
      <c r="M13" s="136">
        <f t="shared" si="3"/>
        <v>11187.5</v>
      </c>
      <c r="N13" s="136">
        <f t="shared" si="3"/>
        <v>11934.97</v>
      </c>
      <c r="O13" s="136">
        <f t="shared" si="3"/>
        <v>11934.97</v>
      </c>
      <c r="P13" s="136">
        <f t="shared" si="3"/>
        <v>11706.4</v>
      </c>
      <c r="Q13" s="136">
        <f t="shared" si="3"/>
        <v>11706.4</v>
      </c>
    </row>
    <row r="14" spans="1:25" x14ac:dyDescent="0.3">
      <c r="D14" s="14" t="s">
        <v>250</v>
      </c>
      <c r="F14" s="65" t="s">
        <v>70</v>
      </c>
      <c r="H14" s="119"/>
      <c r="I14" s="119"/>
      <c r="J14" s="119"/>
      <c r="K14" s="119"/>
      <c r="L14" s="185">
        <f>'Balance sheet'!L40</f>
        <v>4924.5</v>
      </c>
      <c r="M14" s="136">
        <f>M6-M13</f>
        <v>4712.5</v>
      </c>
      <c r="N14" s="136">
        <f>N6-N13</f>
        <v>2882.5600000000013</v>
      </c>
      <c r="O14" s="136">
        <f>O6-O13</f>
        <v>1800.090000000002</v>
      </c>
      <c r="P14" s="136">
        <f>P6-P13</f>
        <v>1174.760000000002</v>
      </c>
      <c r="Q14" s="136">
        <f>Q6-Q13</f>
        <v>320.8600000000024</v>
      </c>
    </row>
    <row r="15" spans="1:25" x14ac:dyDescent="0.3">
      <c r="D15" s="5" t="s">
        <v>173</v>
      </c>
      <c r="E15" s="5"/>
      <c r="F15" s="87" t="s">
        <v>70</v>
      </c>
      <c r="G15" s="5"/>
      <c r="H15" s="48"/>
      <c r="I15" s="48"/>
      <c r="J15" s="48"/>
      <c r="K15" s="48"/>
      <c r="L15" s="48">
        <f t="shared" ref="L15:Q15" si="4">SUM(L13:L14)</f>
        <v>16235</v>
      </c>
      <c r="M15" s="48">
        <f t="shared" si="4"/>
        <v>15900</v>
      </c>
      <c r="N15" s="48">
        <f t="shared" si="4"/>
        <v>14817.53</v>
      </c>
      <c r="O15" s="48">
        <f t="shared" si="4"/>
        <v>13735.060000000001</v>
      </c>
      <c r="P15" s="48">
        <f t="shared" si="4"/>
        <v>12881.160000000002</v>
      </c>
      <c r="Q15" s="48">
        <f t="shared" si="4"/>
        <v>12027.260000000002</v>
      </c>
    </row>
    <row r="16" spans="1:25" x14ac:dyDescent="0.3">
      <c r="M16" s="82"/>
    </row>
    <row r="17" spans="9:17" x14ac:dyDescent="0.3">
      <c r="I17" s="30"/>
      <c r="J17" s="30"/>
      <c r="K17" s="30"/>
      <c r="L17" s="30"/>
      <c r="M17" s="30"/>
      <c r="N17" s="30"/>
      <c r="O17" s="30"/>
      <c r="P17" s="30"/>
      <c r="Q17" s="30"/>
    </row>
  </sheetData>
  <mergeCells count="2">
    <mergeCell ref="H1:L1"/>
    <mergeCell ref="M1:Q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F524-FC25-461D-89DD-7D9AD4252009}">
  <dimension ref="A1:Q20"/>
  <sheetViews>
    <sheetView showGridLines="0" workbookViewId="0">
      <selection activeCell="D1" sqref="D1"/>
    </sheetView>
  </sheetViews>
  <sheetFormatPr defaultRowHeight="14.4" x14ac:dyDescent="0.3"/>
  <cols>
    <col min="1" max="3" width="1.296875" style="13" customWidth="1"/>
    <col min="4" max="4" width="40.69921875" style="14" customWidth="1"/>
    <col min="5" max="6" width="10.69921875" style="14" customWidth="1"/>
    <col min="7" max="7" width="2.69921875" style="14" customWidth="1"/>
    <col min="8" max="12" width="8.09765625" style="14" bestFit="1" customWidth="1"/>
    <col min="13" max="17" width="8.09765625" style="3" bestFit="1" customWidth="1"/>
    <col min="18" max="16384" width="8.796875" style="1"/>
  </cols>
  <sheetData>
    <row r="1" spans="1:17" ht="25.05" customHeight="1" thickBot="1" x14ac:dyDescent="0.65">
      <c r="A1" s="7" t="s">
        <v>303</v>
      </c>
      <c r="B1" s="8"/>
      <c r="C1" s="8"/>
      <c r="D1" s="9"/>
      <c r="E1" s="9"/>
      <c r="F1" s="9"/>
      <c r="G1" s="9"/>
      <c r="H1" s="212" t="s">
        <v>0</v>
      </c>
      <c r="I1" s="212"/>
      <c r="J1" s="212"/>
      <c r="K1" s="212"/>
      <c r="L1" s="212"/>
      <c r="M1" s="213" t="s">
        <v>1</v>
      </c>
      <c r="N1" s="213"/>
      <c r="O1" s="213"/>
      <c r="P1" s="213"/>
      <c r="Q1" s="214"/>
    </row>
    <row r="2" spans="1:17" s="2" customFormat="1" ht="15.45" customHeight="1" x14ac:dyDescent="0.4">
      <c r="A2" s="11"/>
      <c r="B2" s="11"/>
      <c r="C2" s="11"/>
      <c r="D2" s="4"/>
      <c r="E2" s="12" t="s">
        <v>2</v>
      </c>
      <c r="F2" s="12" t="s">
        <v>3</v>
      </c>
      <c r="G2" s="12"/>
      <c r="H2" s="186">
        <v>2022</v>
      </c>
      <c r="I2" s="186">
        <f>H2+1</f>
        <v>2023</v>
      </c>
      <c r="J2" s="186">
        <f t="shared" ref="J2:Q2" si="0">I2+1</f>
        <v>2024</v>
      </c>
      <c r="K2" s="186">
        <f t="shared" si="0"/>
        <v>2025</v>
      </c>
      <c r="L2" s="186">
        <f t="shared" si="0"/>
        <v>2026</v>
      </c>
      <c r="M2" s="187">
        <f t="shared" si="0"/>
        <v>2027</v>
      </c>
      <c r="N2" s="187">
        <f t="shared" si="0"/>
        <v>2028</v>
      </c>
      <c r="O2" s="187">
        <f t="shared" si="0"/>
        <v>2029</v>
      </c>
      <c r="P2" s="187">
        <f t="shared" si="0"/>
        <v>2030</v>
      </c>
      <c r="Q2" s="187">
        <f t="shared" si="0"/>
        <v>2031</v>
      </c>
    </row>
    <row r="3" spans="1:17" x14ac:dyDescent="0.3">
      <c r="C3" s="16" t="s">
        <v>160</v>
      </c>
      <c r="F3" s="16" t="s">
        <v>70</v>
      </c>
      <c r="G3" s="16"/>
      <c r="H3" s="86">
        <f>'Income Statement'!H3</f>
        <v>106341.9</v>
      </c>
      <c r="I3" s="86">
        <f>'Income Statement'!I3</f>
        <v>115992.6</v>
      </c>
      <c r="J3" s="86">
        <f>'Income Statement'!J3</f>
        <v>126675.8</v>
      </c>
      <c r="K3" s="86">
        <f>'Income Statement'!K3</f>
        <v>129645.2</v>
      </c>
      <c r="L3" s="86">
        <f>'Income Statement'!L3</f>
        <v>147122.70000000001</v>
      </c>
      <c r="M3" s="88">
        <f>'Income Statement'!M3</f>
        <v>159668.78050815934</v>
      </c>
      <c r="N3" s="88">
        <f>'Income Statement'!N3</f>
        <v>172331.62695301345</v>
      </c>
      <c r="O3" s="88">
        <f>'Income Statement'!O3</f>
        <v>185042.02843638504</v>
      </c>
      <c r="P3" s="88">
        <f>'Income Statement'!P3</f>
        <v>197734.54122876772</v>
      </c>
      <c r="Q3" s="88">
        <f>'Income Statement'!Q3</f>
        <v>210348.24764012784</v>
      </c>
    </row>
    <row r="4" spans="1:17" x14ac:dyDescent="0.3">
      <c r="D4" s="14" t="s">
        <v>161</v>
      </c>
      <c r="F4" s="14" t="s">
        <v>70</v>
      </c>
      <c r="H4" s="77">
        <f>SUM('Cash Flow Statement'!H29:H30)</f>
        <v>-3279.8</v>
      </c>
      <c r="I4" s="77">
        <f>SUM('Cash Flow Statement'!I29:I30)</f>
        <v>-2297.1</v>
      </c>
      <c r="J4" s="77">
        <f>SUM('Cash Flow Statement'!J29:J30)</f>
        <v>-1868.1000000000001</v>
      </c>
      <c r="K4" s="77">
        <f>SUM('Cash Flow Statement'!K29:K30)</f>
        <v>-6347.8</v>
      </c>
      <c r="L4" s="77">
        <f>SUM('Cash Flow Statement'!L29:L30)</f>
        <v>-4869.5</v>
      </c>
      <c r="M4" s="82">
        <f>M3*M5</f>
        <v>1804.2572197422005</v>
      </c>
      <c r="N4" s="82">
        <f>N3*N5</f>
        <v>3446.6325390602688</v>
      </c>
      <c r="O4" s="82">
        <f>O3*O5</f>
        <v>3700.8405687277009</v>
      </c>
      <c r="P4" s="82">
        <f>P3*P5</f>
        <v>3954.6908245753543</v>
      </c>
      <c r="Q4" s="82">
        <f>Q3*Q5</f>
        <v>4206.9649528025566</v>
      </c>
    </row>
    <row r="5" spans="1:17" x14ac:dyDescent="0.3">
      <c r="D5" s="14" t="s">
        <v>167</v>
      </c>
      <c r="F5" s="79" t="s">
        <v>137</v>
      </c>
      <c r="H5" s="30">
        <f>-H4/H3</f>
        <v>3.0842029341209817E-2</v>
      </c>
      <c r="I5" s="30">
        <f>-I4/I3</f>
        <v>1.9803849555919944E-2</v>
      </c>
      <c r="J5" s="30">
        <f>-J4/J3</f>
        <v>1.4747094551603385E-2</v>
      </c>
      <c r="K5" s="30">
        <f>-K4/K3</f>
        <v>4.8962861717981074E-2</v>
      </c>
      <c r="L5" s="30">
        <f>-L4/L3</f>
        <v>3.3098223455659798E-2</v>
      </c>
      <c r="M5" s="31">
        <v>1.1299999999999999E-2</v>
      </c>
      <c r="N5" s="31">
        <v>0.02</v>
      </c>
      <c r="O5" s="31">
        <f>N5</f>
        <v>0.02</v>
      </c>
      <c r="P5" s="31">
        <f>O5</f>
        <v>0.02</v>
      </c>
      <c r="Q5" s="31">
        <f>P5</f>
        <v>0.02</v>
      </c>
    </row>
    <row r="7" spans="1:17" x14ac:dyDescent="0.3">
      <c r="D7" s="14" t="s">
        <v>162</v>
      </c>
      <c r="F7" s="14" t="s">
        <v>149</v>
      </c>
      <c r="I7" s="78"/>
      <c r="J7" s="78"/>
      <c r="K7" s="78"/>
      <c r="L7" s="78"/>
      <c r="M7" s="82">
        <f>L11</f>
        <v>26949.7</v>
      </c>
      <c r="N7" s="82">
        <f>M11</f>
        <v>24607.550561833712</v>
      </c>
      <c r="O7" s="82">
        <f>N11</f>
        <v>23578.937513797748</v>
      </c>
      <c r="P7" s="82">
        <f>O11</f>
        <v>22474.458618948091</v>
      </c>
      <c r="Q7" s="82">
        <f>P11</f>
        <v>21294.22065130695</v>
      </c>
    </row>
    <row r="8" spans="1:17" x14ac:dyDescent="0.3">
      <c r="D8" s="14" t="s">
        <v>161</v>
      </c>
      <c r="F8" s="14" t="s">
        <v>149</v>
      </c>
      <c r="H8" s="19"/>
      <c r="I8" s="19"/>
      <c r="J8" s="19"/>
      <c r="K8" s="19"/>
      <c r="L8" s="19"/>
      <c r="M8" s="82">
        <f>M4</f>
        <v>1804.2572197422005</v>
      </c>
      <c r="N8" s="82">
        <f>N4</f>
        <v>3446.6325390602688</v>
      </c>
      <c r="O8" s="82">
        <f>O4</f>
        <v>3700.8405687277009</v>
      </c>
      <c r="P8" s="82">
        <f>P4</f>
        <v>3954.6908245753543</v>
      </c>
      <c r="Q8" s="82">
        <f>Q4</f>
        <v>4206.9649528025566</v>
      </c>
    </row>
    <row r="9" spans="1:17" x14ac:dyDescent="0.3">
      <c r="D9" s="14" t="s">
        <v>163</v>
      </c>
      <c r="F9" s="14" t="s">
        <v>149</v>
      </c>
      <c r="H9" s="85">
        <f>'Income Statement'!H12</f>
        <v>-3039.6</v>
      </c>
      <c r="I9" s="85">
        <f>'Income Statement'!I12</f>
        <v>-3104.2</v>
      </c>
      <c r="J9" s="85">
        <f>'Income Statement'!J12</f>
        <v>-2993</v>
      </c>
      <c r="K9" s="85">
        <f>'Income Statement'!K12</f>
        <v>-3571.6</v>
      </c>
      <c r="L9" s="85">
        <f>'Income Statement'!L12</f>
        <v>-3820.6</v>
      </c>
      <c r="M9" s="51">
        <f>-M3*M13</f>
        <v>-4146.4066579084911</v>
      </c>
      <c r="N9" s="51">
        <f>-N3*N13</f>
        <v>-4475.245587096234</v>
      </c>
      <c r="O9" s="51">
        <f>-O3*O13</f>
        <v>-4805.3194635773589</v>
      </c>
      <c r="P9" s="51">
        <f>-P3*P13</f>
        <v>-5134.9287922164958</v>
      </c>
      <c r="Q9" s="51">
        <f>-Q3*Q13</f>
        <v>-5462.4916136930087</v>
      </c>
    </row>
    <row r="10" spans="1:17" x14ac:dyDescent="0.3">
      <c r="D10" s="14" t="s">
        <v>164</v>
      </c>
      <c r="F10" s="14" t="s">
        <v>149</v>
      </c>
      <c r="H10" s="25"/>
      <c r="I10" s="25"/>
      <c r="J10" s="25"/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x14ac:dyDescent="0.3">
      <c r="C11" s="6" t="s">
        <v>165</v>
      </c>
      <c r="D11" s="6"/>
      <c r="E11" s="6"/>
      <c r="F11" s="146" t="s">
        <v>70</v>
      </c>
      <c r="G11" s="6"/>
      <c r="H11" s="27">
        <f>'Balance sheet'!H15</f>
        <v>22871</v>
      </c>
      <c r="I11" s="27">
        <f>'Balance sheet'!I15</f>
        <v>20654</v>
      </c>
      <c r="J11" s="27">
        <f>'Balance sheet'!J15</f>
        <v>21614.6</v>
      </c>
      <c r="K11" s="27">
        <f>'Balance sheet'!K15</f>
        <v>20639.3</v>
      </c>
      <c r="L11" s="27">
        <f>'Balance sheet'!L15</f>
        <v>26949.7</v>
      </c>
      <c r="M11" s="27">
        <f>SUM(M7:M10)</f>
        <v>24607.550561833712</v>
      </c>
      <c r="N11" s="27">
        <f>SUM(N7:N10)</f>
        <v>23578.937513797748</v>
      </c>
      <c r="O11" s="27">
        <f>SUM(O7:O10)</f>
        <v>22474.458618948091</v>
      </c>
      <c r="P11" s="27">
        <f>SUM(P7:P10)</f>
        <v>21294.22065130695</v>
      </c>
      <c r="Q11" s="27">
        <f>SUM(Q7:Q10)</f>
        <v>20038.693990416501</v>
      </c>
    </row>
    <row r="12" spans="1:17" x14ac:dyDescent="0.3">
      <c r="I12" s="78"/>
      <c r="J12" s="78"/>
      <c r="K12" s="78"/>
      <c r="L12" s="78"/>
    </row>
    <row r="13" spans="1:17" x14ac:dyDescent="0.3">
      <c r="D13" s="14" t="s">
        <v>172</v>
      </c>
      <c r="F13" s="14" t="s">
        <v>137</v>
      </c>
      <c r="H13" s="30">
        <f>-H9/H3</f>
        <v>2.8583277146637404E-2</v>
      </c>
      <c r="I13" s="30">
        <f>-I9/I3</f>
        <v>2.676205206194188E-2</v>
      </c>
      <c r="J13" s="30">
        <f>-J9/J3</f>
        <v>2.3627243719794942E-2</v>
      </c>
      <c r="K13" s="30">
        <f>-K9/K3</f>
        <v>2.7549033824622895E-2</v>
      </c>
      <c r="L13" s="30">
        <f>-L9/L3</f>
        <v>2.5968800191948624E-2</v>
      </c>
      <c r="M13" s="84">
        <f>L13</f>
        <v>2.5968800191948624E-2</v>
      </c>
      <c r="N13" s="84">
        <f>M13</f>
        <v>2.5968800191948624E-2</v>
      </c>
      <c r="O13" s="84">
        <f>N13</f>
        <v>2.5968800191948624E-2</v>
      </c>
      <c r="P13" s="84">
        <f>O13</f>
        <v>2.5968800191948624E-2</v>
      </c>
      <c r="Q13" s="84">
        <f>P13</f>
        <v>2.5968800191948624E-2</v>
      </c>
    </row>
    <row r="14" spans="1:17" x14ac:dyDescent="0.3">
      <c r="H14" s="30"/>
      <c r="I14" s="30"/>
      <c r="J14" s="30"/>
      <c r="K14" s="30"/>
      <c r="L14" s="30"/>
      <c r="M14" s="84"/>
      <c r="N14" s="84"/>
      <c r="O14" s="84"/>
      <c r="P14" s="84"/>
      <c r="Q14" s="84"/>
    </row>
    <row r="15" spans="1:17" x14ac:dyDescent="0.3">
      <c r="D15" s="80" t="s">
        <v>170</v>
      </c>
    </row>
    <row r="16" spans="1:17" ht="60.6" customHeight="1" x14ac:dyDescent="0.3">
      <c r="D16" s="215" t="s">
        <v>171</v>
      </c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</row>
    <row r="17" spans="4:17" x14ac:dyDescent="0.3">
      <c r="D17" s="57"/>
      <c r="E17" s="57"/>
      <c r="F17" s="57"/>
      <c r="G17" s="57"/>
      <c r="H17" s="57"/>
      <c r="I17" s="57"/>
      <c r="J17" s="57"/>
      <c r="K17" s="57"/>
      <c r="L17" s="57"/>
      <c r="M17" s="203"/>
      <c r="N17" s="203"/>
      <c r="O17" s="203"/>
      <c r="P17" s="203"/>
      <c r="Q17" s="203"/>
    </row>
    <row r="18" spans="4:17" x14ac:dyDescent="0.3">
      <c r="D18" s="57"/>
      <c r="E18" s="57"/>
      <c r="F18" s="57"/>
      <c r="G18" s="57"/>
      <c r="H18" s="57"/>
      <c r="I18" s="57"/>
      <c r="J18" s="57"/>
      <c r="K18" s="57"/>
      <c r="L18" s="57"/>
      <c r="M18" s="203"/>
      <c r="N18" s="203"/>
      <c r="O18" s="203"/>
      <c r="P18" s="203"/>
      <c r="Q18" s="203"/>
    </row>
    <row r="20" spans="4:17" x14ac:dyDescent="0.3">
      <c r="D20" s="81"/>
    </row>
  </sheetData>
  <mergeCells count="3">
    <mergeCell ref="H1:L1"/>
    <mergeCell ref="M1:Q1"/>
    <mergeCell ref="D16:Q16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2D41-7071-4AFA-BCF8-DF3CCFFFD5E5}">
  <dimension ref="A1:O52"/>
  <sheetViews>
    <sheetView showGridLines="0" workbookViewId="0">
      <selection activeCell="G1" sqref="G1:K1"/>
    </sheetView>
  </sheetViews>
  <sheetFormatPr defaultRowHeight="14.4" x14ac:dyDescent="0.3"/>
  <cols>
    <col min="1" max="3" width="1.296875" style="13" customWidth="1"/>
    <col min="4" max="4" width="25.8984375" style="14" bestFit="1" customWidth="1"/>
    <col min="5" max="5" width="10.3984375" style="14" bestFit="1" customWidth="1"/>
    <col min="6" max="9" width="10.69921875" style="14" customWidth="1"/>
    <col min="10" max="11" width="9.59765625" style="14" customWidth="1"/>
    <col min="12" max="12" width="9.59765625" style="3" customWidth="1"/>
    <col min="13" max="13" width="10.3984375" style="3" bestFit="1" customWidth="1"/>
    <col min="14" max="14" width="8.8984375" style="3" customWidth="1"/>
    <col min="15" max="15" width="11.09765625" style="3" bestFit="1" customWidth="1"/>
    <col min="16" max="16384" width="8.796875" style="1"/>
  </cols>
  <sheetData>
    <row r="1" spans="1:15" ht="25.05" customHeight="1" thickBot="1" x14ac:dyDescent="0.65">
      <c r="A1" s="7" t="s">
        <v>261</v>
      </c>
      <c r="B1" s="8"/>
      <c r="C1" s="8"/>
      <c r="D1" s="9"/>
      <c r="E1" s="9"/>
      <c r="F1" s="9"/>
      <c r="G1" s="212"/>
      <c r="H1" s="212"/>
      <c r="I1" s="212"/>
      <c r="J1" s="212"/>
      <c r="K1" s="212"/>
      <c r="L1" s="213"/>
      <c r="M1" s="213"/>
      <c r="N1" s="213"/>
      <c r="O1" s="213"/>
    </row>
    <row r="2" spans="1:15" x14ac:dyDescent="0.3">
      <c r="G2" s="15"/>
    </row>
    <row r="3" spans="1:15" x14ac:dyDescent="0.3">
      <c r="C3" s="80" t="s">
        <v>139</v>
      </c>
      <c r="G3" s="15"/>
    </row>
    <row r="4" spans="1:15" x14ac:dyDescent="0.3">
      <c r="D4" s="14" t="s">
        <v>257</v>
      </c>
      <c r="E4" s="152">
        <v>46279</v>
      </c>
    </row>
    <row r="5" spans="1:15" x14ac:dyDescent="0.3">
      <c r="D5" s="14" t="s">
        <v>258</v>
      </c>
      <c r="E5" s="152">
        <v>46477</v>
      </c>
    </row>
    <row r="6" spans="1:15" x14ac:dyDescent="0.3">
      <c r="D6" s="14" t="s">
        <v>142</v>
      </c>
      <c r="E6" s="120">
        <f>'Income Statement'!M31</f>
        <v>0.31</v>
      </c>
    </row>
    <row r="7" spans="1:15" x14ac:dyDescent="0.3">
      <c r="D7" s="14" t="s">
        <v>207</v>
      </c>
      <c r="E7" s="166">
        <f>'Relative Valuation'!P13</f>
        <v>32.941494515026761</v>
      </c>
    </row>
    <row r="8" spans="1:15" x14ac:dyDescent="0.3">
      <c r="D8" s="14" t="s">
        <v>259</v>
      </c>
      <c r="E8" s="39">
        <v>0.03</v>
      </c>
    </row>
    <row r="9" spans="1:15" x14ac:dyDescent="0.3">
      <c r="D9" s="14" t="s">
        <v>260</v>
      </c>
      <c r="E9" s="151">
        <f>WACC!E39</f>
        <v>7.4760431982993633E-2</v>
      </c>
    </row>
    <row r="10" spans="1:15" x14ac:dyDescent="0.3">
      <c r="D10" s="14" t="s">
        <v>321</v>
      </c>
      <c r="E10" s="150">
        <f>'Income Statement'!L33</f>
        <v>119.565</v>
      </c>
      <c r="H10" s="123"/>
    </row>
    <row r="12" spans="1:15" x14ac:dyDescent="0.3">
      <c r="D12" s="5" t="s">
        <v>262</v>
      </c>
      <c r="E12" s="5"/>
      <c r="F12" s="5"/>
      <c r="G12" s="5" t="s">
        <v>263</v>
      </c>
      <c r="H12" s="5">
        <v>2027</v>
      </c>
      <c r="I12" s="5">
        <f>H12+1</f>
        <v>2028</v>
      </c>
      <c r="J12" s="5">
        <f>I12+1</f>
        <v>2029</v>
      </c>
      <c r="K12" s="5">
        <f>J12+1</f>
        <v>2030</v>
      </c>
      <c r="L12" s="5">
        <f>K12+1</f>
        <v>2031</v>
      </c>
      <c r="M12" s="209" t="s">
        <v>264</v>
      </c>
    </row>
    <row r="13" spans="1:15" x14ac:dyDescent="0.3">
      <c r="D13" s="14" t="s">
        <v>241</v>
      </c>
      <c r="G13" s="123">
        <f>E4</f>
        <v>46279</v>
      </c>
      <c r="H13" s="123">
        <f>E5</f>
        <v>46477</v>
      </c>
      <c r="I13" s="123">
        <v>46843</v>
      </c>
      <c r="J13" s="123">
        <v>47208</v>
      </c>
      <c r="K13" s="123">
        <v>47573</v>
      </c>
      <c r="L13" s="153">
        <v>47938</v>
      </c>
      <c r="M13" s="153">
        <v>47938</v>
      </c>
    </row>
    <row r="14" spans="1:15" x14ac:dyDescent="0.3">
      <c r="D14" s="14" t="s">
        <v>265</v>
      </c>
      <c r="H14" s="14">
        <v>0</v>
      </c>
      <c r="I14" s="14">
        <f>H14+1</f>
        <v>1</v>
      </c>
      <c r="J14" s="14">
        <f>I14+1</f>
        <v>2</v>
      </c>
      <c r="K14" s="14">
        <f>J14+1</f>
        <v>3</v>
      </c>
      <c r="L14" s="14">
        <f>K14+1</f>
        <v>4</v>
      </c>
    </row>
    <row r="15" spans="1:15" x14ac:dyDescent="0.3">
      <c r="D15" s="14" t="s">
        <v>266</v>
      </c>
      <c r="H15" s="83">
        <f>YEARFRAC(G13,H13)</f>
        <v>0.54722222222222228</v>
      </c>
      <c r="I15" s="83">
        <f>YEARFRAC(H13,I13)</f>
        <v>1</v>
      </c>
      <c r="J15" s="83">
        <f>YEARFRAC(I13,J13)</f>
        <v>1</v>
      </c>
      <c r="K15" s="83">
        <f>YEARFRAC(J13,K13)</f>
        <v>1</v>
      </c>
      <c r="L15" s="83">
        <f>YEARFRAC(K13,L13)</f>
        <v>1</v>
      </c>
      <c r="M15" s="83">
        <f>L15</f>
        <v>1</v>
      </c>
    </row>
    <row r="17" spans="4:15" x14ac:dyDescent="0.3">
      <c r="D17" s="154" t="s">
        <v>14</v>
      </c>
      <c r="H17" s="150">
        <f>'Income Statement'!M13</f>
        <v>26350.330419149941</v>
      </c>
      <c r="I17" s="150">
        <f>'Income Statement'!N13</f>
        <v>28440.095160929344</v>
      </c>
      <c r="J17" s="150">
        <f>'Income Statement'!O13</f>
        <v>30537.707967772189</v>
      </c>
      <c r="K17" s="150">
        <f>'Income Statement'!P13</f>
        <v>32632.368582478142</v>
      </c>
      <c r="L17" s="150">
        <f>'Income Statement'!Q13</f>
        <v>34714.023685571417</v>
      </c>
    </row>
    <row r="18" spans="4:15" x14ac:dyDescent="0.3">
      <c r="D18" s="54" t="s">
        <v>269</v>
      </c>
      <c r="E18" s="54"/>
      <c r="F18" s="54"/>
      <c r="G18" s="54"/>
      <c r="H18" s="155">
        <f>-H17*$E$6</f>
        <v>-8168.6024299364817</v>
      </c>
      <c r="I18" s="155">
        <f>-I17*$E$6</f>
        <v>-8816.429499888096</v>
      </c>
      <c r="J18" s="155">
        <f>-J17*$E$6</f>
        <v>-9466.6894700093781</v>
      </c>
      <c r="K18" s="155">
        <f>-K17*$E$6</f>
        <v>-10116.034260568224</v>
      </c>
      <c r="L18" s="155">
        <f>-L17*$E$6</f>
        <v>-10761.347342527139</v>
      </c>
      <c r="N18" s="5" t="s">
        <v>267</v>
      </c>
      <c r="O18" s="5"/>
    </row>
    <row r="19" spans="4:15" x14ac:dyDescent="0.3">
      <c r="D19" s="154" t="s">
        <v>270</v>
      </c>
      <c r="H19" s="156">
        <f>SUM(H17:H18)</f>
        <v>18181.727989213461</v>
      </c>
      <c r="I19" s="156">
        <f>SUM(I17:I18)</f>
        <v>19623.665661041246</v>
      </c>
      <c r="J19" s="156">
        <f>SUM(J17:J18)</f>
        <v>21071.018497762809</v>
      </c>
      <c r="K19" s="156">
        <f>SUM(K17:K18)</f>
        <v>22516.334321909919</v>
      </c>
      <c r="L19" s="156">
        <f>SUM(L17:L18)</f>
        <v>23952.676343044281</v>
      </c>
      <c r="N19" s="14" t="s">
        <v>207</v>
      </c>
      <c r="O19" s="157">
        <f>(L17+L20)*E7</f>
        <v>1323474.458363608</v>
      </c>
    </row>
    <row r="20" spans="4:15" x14ac:dyDescent="0.3">
      <c r="D20" s="3" t="s">
        <v>271</v>
      </c>
      <c r="H20" s="85">
        <f>'Cash Flow Statement'!M6</f>
        <v>4146.4066579084911</v>
      </c>
      <c r="I20" s="85">
        <f>'Cash Flow Statement'!N6</f>
        <v>4475.245587096234</v>
      </c>
      <c r="J20" s="85">
        <f>'Cash Flow Statement'!O6</f>
        <v>4805.3194635773589</v>
      </c>
      <c r="K20" s="85">
        <f>'Cash Flow Statement'!P6</f>
        <v>5134.9287922164958</v>
      </c>
      <c r="L20" s="85">
        <f>'Cash Flow Statement'!Q6</f>
        <v>5462.4916136930087</v>
      </c>
      <c r="N20" s="54" t="s">
        <v>268</v>
      </c>
      <c r="O20" s="167">
        <f>L23*(1+E8)/(E9-E8)</f>
        <v>500309.57712144527</v>
      </c>
    </row>
    <row r="21" spans="4:15" x14ac:dyDescent="0.3">
      <c r="D21" s="3" t="s">
        <v>272</v>
      </c>
      <c r="H21" s="85">
        <f>'Cash Flow Statement'!M29</f>
        <v>-1804.2572197422005</v>
      </c>
      <c r="I21" s="85">
        <f>'Cash Flow Statement'!N29</f>
        <v>-3446.6325390602688</v>
      </c>
      <c r="J21" s="85">
        <f>'Cash Flow Statement'!O29</f>
        <v>-3700.8405687277009</v>
      </c>
      <c r="K21" s="85">
        <f>'Cash Flow Statement'!P29</f>
        <v>-3954.6908245753543</v>
      </c>
      <c r="L21" s="85">
        <f>'Cash Flow Statement'!Q29</f>
        <v>-4206.9649528025566</v>
      </c>
      <c r="N21" s="16" t="s">
        <v>226</v>
      </c>
      <c r="O21" s="158">
        <f>AVERAGE(O19:O20)</f>
        <v>911892.0177425266</v>
      </c>
    </row>
    <row r="22" spans="4:15" x14ac:dyDescent="0.3">
      <c r="D22" s="54" t="s">
        <v>274</v>
      </c>
      <c r="E22" s="54"/>
      <c r="F22" s="54"/>
      <c r="G22" s="54"/>
      <c r="H22" s="160">
        <f>SUM('Cash Flow Statement'!M21,'Cash Flow Statement'!M23,'Cash Flow Statement'!M24)</f>
        <v>-3197.2306784970715</v>
      </c>
      <c r="I22" s="160">
        <f>SUM('Cash Flow Statement'!N21,'Cash Flow Statement'!N23,'Cash Flow Statement'!N24)</f>
        <v>-3479.8889739658516</v>
      </c>
      <c r="J22" s="160">
        <f>SUM('Cash Flow Statement'!O21,'Cash Flow Statement'!O23,'Cash Flow Statement'!O24)</f>
        <v>-3492.9576197015667</v>
      </c>
      <c r="K22" s="160">
        <f>SUM('Cash Flow Statement'!P21,'Cash Flow Statement'!P23,'Cash Flow Statement'!P24)</f>
        <v>-3488.0416113773645</v>
      </c>
      <c r="L22" s="160">
        <f>SUM('Cash Flow Statement'!Q21,'Cash Flow Statement'!Q23,'Cash Flow Statement'!Q24)</f>
        <v>-3466.3847542407893</v>
      </c>
    </row>
    <row r="23" spans="4:15" x14ac:dyDescent="0.3">
      <c r="D23" s="154" t="s">
        <v>273</v>
      </c>
      <c r="H23" s="156">
        <f>SUM(H19:H22)</f>
        <v>17326.646748882678</v>
      </c>
      <c r="I23" s="156">
        <f>SUM(I19:I22)</f>
        <v>17172.389735111359</v>
      </c>
      <c r="J23" s="156">
        <f>SUM(J19:J22)</f>
        <v>18682.539772910899</v>
      </c>
      <c r="K23" s="156">
        <f>SUM(K19:K22)</f>
        <v>20208.530678173694</v>
      </c>
      <c r="L23" s="156">
        <f>SUM(L19:L22)</f>
        <v>21741.818249693941</v>
      </c>
      <c r="M23" s="205">
        <f>O21</f>
        <v>911892.0177425266</v>
      </c>
    </row>
    <row r="25" spans="4:15" x14ac:dyDescent="0.3">
      <c r="D25" s="154" t="s">
        <v>275</v>
      </c>
      <c r="H25" s="78">
        <f t="shared" ref="H25:M25" si="0">H23*H15</f>
        <v>9481.5261375830214</v>
      </c>
      <c r="I25" s="78">
        <f t="shared" si="0"/>
        <v>17172.389735111359</v>
      </c>
      <c r="J25" s="78">
        <f t="shared" si="0"/>
        <v>18682.539772910899</v>
      </c>
      <c r="K25" s="78">
        <f t="shared" si="0"/>
        <v>20208.530678173694</v>
      </c>
      <c r="L25" s="78">
        <f t="shared" si="0"/>
        <v>21741.818249693941</v>
      </c>
      <c r="M25" s="78">
        <f t="shared" si="0"/>
        <v>911892.0177425266</v>
      </c>
    </row>
    <row r="27" spans="4:15" x14ac:dyDescent="0.3">
      <c r="D27" s="5" t="s">
        <v>276</v>
      </c>
      <c r="E27" s="5"/>
      <c r="F27" s="154"/>
      <c r="G27" s="5" t="s">
        <v>277</v>
      </c>
      <c r="H27" s="5"/>
      <c r="I27" s="5"/>
      <c r="J27" s="69"/>
    </row>
    <row r="28" spans="4:15" x14ac:dyDescent="0.3">
      <c r="D28" s="3" t="s">
        <v>278</v>
      </c>
      <c r="E28" s="78">
        <f>XNPV(E9,H25:M25,H13:M13)</f>
        <v>757492.45689363021</v>
      </c>
      <c r="F28" s="3"/>
      <c r="G28" s="3" t="s">
        <v>279</v>
      </c>
      <c r="H28" s="3"/>
      <c r="I28" s="40">
        <v>5089</v>
      </c>
      <c r="J28" s="37"/>
      <c r="K28" s="181"/>
      <c r="L28" s="159"/>
      <c r="M28" s="159"/>
      <c r="N28" s="159"/>
      <c r="O28" s="159"/>
    </row>
    <row r="29" spans="4:15" x14ac:dyDescent="0.3">
      <c r="D29" s="3" t="s">
        <v>280</v>
      </c>
      <c r="E29" s="206">
        <f>SUM('Balance sheet'!M4:M5)</f>
        <v>32104.205876579319</v>
      </c>
      <c r="F29" s="3"/>
      <c r="G29" s="3" t="s">
        <v>281</v>
      </c>
      <c r="H29" s="159"/>
      <c r="I29" s="40">
        <f>E34</f>
        <v>6423.8979866199097</v>
      </c>
      <c r="J29" s="37"/>
      <c r="K29" s="181"/>
      <c r="L29" s="159"/>
      <c r="M29" s="159"/>
      <c r="N29" s="159"/>
      <c r="O29" s="159"/>
    </row>
    <row r="30" spans="4:15" x14ac:dyDescent="0.3">
      <c r="D30" s="3" t="s">
        <v>282</v>
      </c>
      <c r="E30" s="85">
        <f>-Debt!L15</f>
        <v>-16235</v>
      </c>
      <c r="F30" s="3"/>
      <c r="G30" s="34" t="s">
        <v>286</v>
      </c>
      <c r="H30" s="34"/>
      <c r="I30" s="32">
        <f>I29/I28-1</f>
        <v>0.26231047094122806</v>
      </c>
      <c r="J30" s="37"/>
      <c r="K30" s="181"/>
      <c r="L30" s="159"/>
      <c r="M30" s="159"/>
      <c r="N30" s="159"/>
      <c r="O30" s="159"/>
    </row>
    <row r="31" spans="4:15" ht="12" customHeight="1" x14ac:dyDescent="0.3">
      <c r="D31" s="54" t="s">
        <v>283</v>
      </c>
      <c r="E31" s="160">
        <f>-'Balance sheet'!L50</f>
        <v>-5288.3</v>
      </c>
      <c r="F31" s="3"/>
      <c r="G31" s="3"/>
      <c r="H31" s="3"/>
      <c r="I31" s="3"/>
      <c r="J31" s="37"/>
      <c r="K31" s="181"/>
      <c r="L31" s="159"/>
      <c r="M31" s="182"/>
      <c r="N31" s="159"/>
      <c r="O31" s="159"/>
    </row>
    <row r="32" spans="4:15" x14ac:dyDescent="0.3">
      <c r="D32" s="154" t="s">
        <v>213</v>
      </c>
      <c r="E32" s="49">
        <f>SUM(E28:E31)</f>
        <v>768073.36277020944</v>
      </c>
      <c r="F32" s="3"/>
      <c r="G32" s="3"/>
      <c r="H32" s="3"/>
      <c r="I32" s="3"/>
      <c r="J32" s="37"/>
      <c r="K32" s="181"/>
      <c r="L32" s="159"/>
      <c r="M32" s="182"/>
      <c r="N32" s="159"/>
      <c r="O32" s="159"/>
    </row>
    <row r="33" spans="3:15" x14ac:dyDescent="0.3">
      <c r="D33" s="3"/>
      <c r="E33" s="40"/>
      <c r="F33" s="3"/>
      <c r="G33" s="3"/>
      <c r="H33" s="3"/>
      <c r="I33" s="3"/>
      <c r="M33" s="179"/>
    </row>
    <row r="34" spans="3:15" x14ac:dyDescent="0.3">
      <c r="D34" s="154" t="s">
        <v>284</v>
      </c>
      <c r="E34" s="207">
        <f>E32/E10</f>
        <v>6423.8979866199097</v>
      </c>
      <c r="F34" s="3"/>
      <c r="G34" s="3"/>
      <c r="H34" s="3"/>
      <c r="I34" s="3"/>
      <c r="J34" s="180"/>
      <c r="M34" s="179"/>
    </row>
    <row r="36" spans="3:15" ht="15.6" x14ac:dyDescent="0.3">
      <c r="C36" s="164" t="s">
        <v>287</v>
      </c>
      <c r="D36" s="165"/>
      <c r="E36" s="165"/>
      <c r="F36" s="165"/>
      <c r="G36" s="165"/>
      <c r="H36" s="162"/>
      <c r="I36" s="162"/>
      <c r="J36" s="163"/>
      <c r="K36" s="165"/>
      <c r="L36" s="183"/>
      <c r="M36" s="163"/>
      <c r="N36" s="163"/>
      <c r="O36" s="183"/>
    </row>
    <row r="37" spans="3:15" x14ac:dyDescent="0.3">
      <c r="J37" s="161" t="s">
        <v>288</v>
      </c>
      <c r="K37" s="161"/>
      <c r="L37" s="202"/>
      <c r="M37" s="202"/>
      <c r="N37" s="202"/>
      <c r="O37" s="202"/>
    </row>
    <row r="38" spans="3:15" x14ac:dyDescent="0.3">
      <c r="J38" s="69">
        <f>E34</f>
        <v>6423.8979866199097</v>
      </c>
      <c r="K38" s="193">
        <v>27.9</v>
      </c>
      <c r="L38" s="193">
        <v>30.4</v>
      </c>
      <c r="M38" s="193">
        <v>32.9</v>
      </c>
      <c r="N38" s="193">
        <v>35.4</v>
      </c>
      <c r="O38" s="193">
        <v>37.9</v>
      </c>
    </row>
    <row r="39" spans="3:15" x14ac:dyDescent="0.3">
      <c r="I39" s="216" t="s">
        <v>260</v>
      </c>
      <c r="J39" s="37">
        <v>5.4800000000000001E-2</v>
      </c>
      <c r="K39" s="194">
        <f t="dataTable" ref="K39:O43" dt2D="1" dtr="1" r1="E7" r2="E9" ca="1"/>
        <v>7571.4106078000477</v>
      </c>
      <c r="L39" s="195">
        <v>7910.6718486351392</v>
      </c>
      <c r="M39" s="195">
        <v>8249.9330894702325</v>
      </c>
      <c r="N39" s="195">
        <v>8589.1943303053231</v>
      </c>
      <c r="O39" s="195">
        <v>8928.4555711404137</v>
      </c>
    </row>
    <row r="40" spans="3:15" x14ac:dyDescent="0.3">
      <c r="I40" s="216"/>
      <c r="J40" s="37">
        <v>6.4799999999999996E-2</v>
      </c>
      <c r="K40" s="196">
        <v>6460.6932914489398</v>
      </c>
      <c r="L40" s="201">
        <v>6787.3799009374861</v>
      </c>
      <c r="M40" s="201">
        <v>7114.0665104260306</v>
      </c>
      <c r="N40" s="201">
        <v>7440.7531199145769</v>
      </c>
      <c r="O40" s="24">
        <v>7767.4397294031214</v>
      </c>
    </row>
    <row r="41" spans="3:15" x14ac:dyDescent="0.3">
      <c r="H41" s="157"/>
      <c r="I41" s="216"/>
      <c r="J41" s="37">
        <v>7.4800000000000005E-2</v>
      </c>
      <c r="K41" s="196">
        <v>5787.0200097619772</v>
      </c>
      <c r="L41" s="201">
        <v>6101.7091458717605</v>
      </c>
      <c r="M41" s="197">
        <v>6416.3982819815474</v>
      </c>
      <c r="N41" s="201">
        <v>6731.0874180913306</v>
      </c>
      <c r="O41" s="24">
        <v>7045.7765542011166</v>
      </c>
    </row>
    <row r="42" spans="3:15" x14ac:dyDescent="0.3">
      <c r="I42" s="216"/>
      <c r="J42" s="37">
        <v>8.48E-2</v>
      </c>
      <c r="K42" s="196">
        <v>5314.4269457212895</v>
      </c>
      <c r="L42" s="201">
        <v>5617.6642700572756</v>
      </c>
      <c r="M42" s="201">
        <v>5920.9015943932618</v>
      </c>
      <c r="N42" s="201">
        <v>6224.1389187292471</v>
      </c>
      <c r="O42" s="24">
        <v>6527.3762430652332</v>
      </c>
    </row>
    <row r="43" spans="3:15" x14ac:dyDescent="0.3">
      <c r="I43" s="216"/>
      <c r="J43" s="37">
        <v>9.4799999999999995E-2</v>
      </c>
      <c r="K43" s="196">
        <v>4952.4057031522143</v>
      </c>
      <c r="L43" s="24">
        <v>5244.7073679909845</v>
      </c>
      <c r="M43" s="24">
        <v>5537.0090328297556</v>
      </c>
      <c r="N43" s="24">
        <v>5829.3106976685249</v>
      </c>
      <c r="O43" s="24">
        <v>6121.612362507296</v>
      </c>
    </row>
    <row r="44" spans="3:15" x14ac:dyDescent="0.3">
      <c r="I44" s="204"/>
    </row>
    <row r="45" spans="3:15" x14ac:dyDescent="0.3">
      <c r="I45" s="204"/>
      <c r="J45" s="161" t="s">
        <v>322</v>
      </c>
      <c r="K45" s="161"/>
      <c r="L45" s="202"/>
      <c r="M45" s="202"/>
      <c r="N45" s="202"/>
      <c r="O45" s="202"/>
    </row>
    <row r="46" spans="3:15" x14ac:dyDescent="0.3">
      <c r="I46" s="204"/>
      <c r="J46" s="69">
        <f>E34</f>
        <v>6423.8979866199097</v>
      </c>
      <c r="K46" s="37">
        <v>0.02</v>
      </c>
      <c r="L46" s="198">
        <v>2.5000000000000001E-2</v>
      </c>
      <c r="M46" s="198">
        <v>0.03</v>
      </c>
      <c r="N46" s="198">
        <v>3.5000000000000003E-2</v>
      </c>
      <c r="O46" s="198">
        <v>0.04</v>
      </c>
    </row>
    <row r="47" spans="3:15" x14ac:dyDescent="0.3">
      <c r="I47" s="216" t="s">
        <v>260</v>
      </c>
      <c r="J47" s="37">
        <v>5.4800000000000001E-2</v>
      </c>
      <c r="K47" s="194">
        <f t="dataTable" ref="K47:O51" dt2D="1" dtr="1" r1="E8" r2="E9"/>
        <v>7358.0174340548374</v>
      </c>
      <c r="L47" s="195">
        <v>7731.4932203368435</v>
      </c>
      <c r="M47" s="195">
        <v>8255.5640817325639</v>
      </c>
      <c r="N47" s="195">
        <v>9044.3171963584427</v>
      </c>
      <c r="O47" s="195">
        <v>10366.011604650461</v>
      </c>
    </row>
    <row r="48" spans="3:15" x14ac:dyDescent="0.3">
      <c r="I48" s="216"/>
      <c r="J48" s="37">
        <v>6.4799999999999996E-2</v>
      </c>
      <c r="K48" s="196">
        <v>6636.5126196665224</v>
      </c>
      <c r="L48" s="201">
        <v>6847.6630063022922</v>
      </c>
      <c r="M48" s="201">
        <v>7119.4887913966159</v>
      </c>
      <c r="N48" s="201">
        <v>7482.5312828984333</v>
      </c>
      <c r="O48" s="24">
        <v>7991.9618758122715</v>
      </c>
    </row>
    <row r="49" spans="8:15" x14ac:dyDescent="0.3">
      <c r="H49" s="157"/>
      <c r="I49" s="216"/>
      <c r="J49" s="37">
        <v>7.4800000000000005E-2</v>
      </c>
      <c r="K49" s="196">
        <v>6123.4030406050533</v>
      </c>
      <c r="L49" s="201">
        <v>6257.5414331691809</v>
      </c>
      <c r="M49" s="197">
        <v>6421.6214312163738</v>
      </c>
      <c r="N49" s="201">
        <v>6626.9275594261771</v>
      </c>
      <c r="O49" s="24">
        <v>6891.2297014893702</v>
      </c>
    </row>
    <row r="50" spans="8:15" x14ac:dyDescent="0.3">
      <c r="I50" s="216"/>
      <c r="J50" s="37">
        <v>8.48E-2</v>
      </c>
      <c r="K50" s="196">
        <v>5725.4134410668112</v>
      </c>
      <c r="L50" s="201">
        <v>5817.2910604069612</v>
      </c>
      <c r="M50" s="201">
        <v>5925.9346686777953</v>
      </c>
      <c r="N50" s="201">
        <v>6056.3942625451818</v>
      </c>
      <c r="O50" s="24">
        <v>6215.9743014722544</v>
      </c>
    </row>
    <row r="51" spans="8:15" x14ac:dyDescent="0.3">
      <c r="I51" s="216"/>
      <c r="J51" s="37">
        <f>J49+2%</f>
        <v>9.4800000000000009E-2</v>
      </c>
      <c r="K51" s="196">
        <v>5398.9471632526474</v>
      </c>
      <c r="L51" s="24">
        <v>5465.2852051348436</v>
      </c>
      <c r="M51" s="24">
        <v>5541.860599159354</v>
      </c>
      <c r="N51" s="24">
        <v>5631.2412430207396</v>
      </c>
      <c r="O51" s="24">
        <v>5736.9322233531802</v>
      </c>
    </row>
    <row r="52" spans="8:15" x14ac:dyDescent="0.3">
      <c r="I52" s="204"/>
    </row>
  </sheetData>
  <mergeCells count="4">
    <mergeCell ref="G1:K1"/>
    <mergeCell ref="L1:O1"/>
    <mergeCell ref="I39:I43"/>
    <mergeCell ref="I47:I5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0B30-3656-49FA-AB3C-BE77A9D2138C}">
  <dimension ref="A1:Q32"/>
  <sheetViews>
    <sheetView showGridLines="0" topLeftCell="A12" workbookViewId="0">
      <selection activeCell="S37" sqref="S37"/>
    </sheetView>
  </sheetViews>
  <sheetFormatPr defaultRowHeight="14.4" x14ac:dyDescent="0.3"/>
  <cols>
    <col min="1" max="3" width="1.296875" style="13" customWidth="1"/>
    <col min="4" max="4" width="14.59765625" style="14" bestFit="1" customWidth="1"/>
    <col min="5" max="5" width="13.5" style="14" bestFit="1" customWidth="1"/>
    <col min="6" max="6" width="7.59765625" style="14" bestFit="1" customWidth="1"/>
    <col min="7" max="7" width="12" style="14" bestFit="1" customWidth="1"/>
    <col min="8" max="8" width="10.3984375" style="14" bestFit="1" customWidth="1"/>
    <col min="9" max="9" width="8" style="14" bestFit="1" customWidth="1"/>
    <col min="10" max="11" width="9.296875" style="14" bestFit="1" customWidth="1"/>
    <col min="12" max="12" width="8.09765625" style="14" bestFit="1" customWidth="1"/>
    <col min="13" max="13" width="9.69921875" style="14" bestFit="1" customWidth="1"/>
    <col min="14" max="14" width="9.69921875" style="3" bestFit="1" customWidth="1"/>
    <col min="15" max="15" width="7.59765625" style="3" bestFit="1" customWidth="1"/>
    <col min="16" max="16" width="9.296875" style="3" bestFit="1" customWidth="1"/>
    <col min="17" max="17" width="5.796875" style="3" bestFit="1" customWidth="1"/>
    <col min="18" max="16384" width="8.796875" style="1"/>
  </cols>
  <sheetData>
    <row r="1" spans="1:17" ht="32.4" x14ac:dyDescent="0.6">
      <c r="A1" s="105" t="s">
        <v>216</v>
      </c>
      <c r="B1" s="105"/>
      <c r="C1" s="105"/>
      <c r="D1" s="105"/>
      <c r="E1" s="105"/>
      <c r="F1" s="105"/>
      <c r="G1" s="105"/>
      <c r="H1" s="106"/>
      <c r="I1" s="106"/>
      <c r="J1" s="106"/>
      <c r="K1" s="106"/>
      <c r="L1" s="106"/>
      <c r="M1" s="106"/>
      <c r="N1" s="106"/>
      <c r="O1" s="218" t="s">
        <v>218</v>
      </c>
      <c r="P1" s="218"/>
      <c r="Q1" s="218"/>
    </row>
    <row r="2" spans="1:17" x14ac:dyDescent="0.3">
      <c r="E2" s="96"/>
      <c r="F2" s="217" t="s">
        <v>200</v>
      </c>
      <c r="G2" s="217"/>
      <c r="H2" s="217"/>
      <c r="I2" s="217"/>
      <c r="J2" s="217"/>
      <c r="K2" s="217"/>
      <c r="L2" s="217" t="s">
        <v>201</v>
      </c>
      <c r="M2" s="217"/>
      <c r="N2" s="217"/>
      <c r="O2" s="217" t="s">
        <v>202</v>
      </c>
      <c r="P2" s="217"/>
      <c r="Q2" s="217"/>
    </row>
    <row r="3" spans="1:17" x14ac:dyDescent="0.3">
      <c r="D3" s="89" t="s">
        <v>175</v>
      </c>
      <c r="E3" s="89" t="s">
        <v>184</v>
      </c>
      <c r="F3" s="92" t="s">
        <v>215</v>
      </c>
      <c r="G3" s="92" t="s">
        <v>320</v>
      </c>
      <c r="H3" s="93" t="s">
        <v>187</v>
      </c>
      <c r="I3" s="93" t="s">
        <v>204</v>
      </c>
      <c r="J3" s="92" t="s">
        <v>188</v>
      </c>
      <c r="K3" s="92" t="s">
        <v>205</v>
      </c>
      <c r="L3" s="89" t="s">
        <v>5</v>
      </c>
      <c r="M3" s="89" t="s">
        <v>12</v>
      </c>
      <c r="N3" s="89" t="s">
        <v>189</v>
      </c>
      <c r="O3" s="92" t="s">
        <v>206</v>
      </c>
      <c r="P3" s="92" t="s">
        <v>207</v>
      </c>
      <c r="Q3" s="92" t="s">
        <v>208</v>
      </c>
    </row>
    <row r="4" spans="1:17" x14ac:dyDescent="0.3">
      <c r="D4" s="107" t="s">
        <v>176</v>
      </c>
      <c r="E4" s="107" t="s">
        <v>192</v>
      </c>
      <c r="F4" s="107">
        <v>1875.35</v>
      </c>
      <c r="G4" s="107">
        <v>239.93</v>
      </c>
      <c r="H4" s="108">
        <v>449952.7255</v>
      </c>
      <c r="I4" s="108">
        <v>4627.32</v>
      </c>
      <c r="J4" s="108">
        <v>11603.08</v>
      </c>
      <c r="K4" s="108">
        <v>442976.96549999999</v>
      </c>
      <c r="L4" s="108">
        <v>19709.57</v>
      </c>
      <c r="M4" s="108">
        <v>12632.59</v>
      </c>
      <c r="N4" s="108">
        <v>12632.59</v>
      </c>
      <c r="O4" s="200">
        <v>22.475222214386211</v>
      </c>
      <c r="P4" s="200">
        <v>35.066203011417294</v>
      </c>
      <c r="Q4" s="200">
        <v>35.618406478798093</v>
      </c>
    </row>
    <row r="5" spans="1:17" x14ac:dyDescent="0.3">
      <c r="D5" s="107" t="s">
        <v>177</v>
      </c>
      <c r="E5" s="107" t="s">
        <v>194</v>
      </c>
      <c r="F5" s="107">
        <v>9489.7000000000007</v>
      </c>
      <c r="G5" s="107">
        <v>26.55</v>
      </c>
      <c r="H5" s="108">
        <v>251951.53500000003</v>
      </c>
      <c r="I5" s="108">
        <v>7</v>
      </c>
      <c r="J5" s="108">
        <v>3414</v>
      </c>
      <c r="K5" s="108">
        <v>248544.53500000003</v>
      </c>
      <c r="L5" s="108">
        <v>3949</v>
      </c>
      <c r="M5" s="108">
        <v>2979.27</v>
      </c>
      <c r="N5" s="108">
        <v>2979.27</v>
      </c>
      <c r="O5" s="200">
        <v>62.938600911623205</v>
      </c>
      <c r="P5" s="200">
        <v>83.42464261379466</v>
      </c>
      <c r="Q5" s="200">
        <v>84.568211340361913</v>
      </c>
    </row>
    <row r="6" spans="1:17" x14ac:dyDescent="0.3">
      <c r="D6" s="107" t="s">
        <v>178</v>
      </c>
      <c r="E6" s="107" t="s">
        <v>195</v>
      </c>
      <c r="F6" s="107">
        <v>4951.2</v>
      </c>
      <c r="G6" s="107">
        <v>33.840000000000003</v>
      </c>
      <c r="H6" s="108">
        <v>167548.60800000001</v>
      </c>
      <c r="I6" s="108">
        <v>15025.5</v>
      </c>
      <c r="J6" s="108">
        <v>1165.2</v>
      </c>
      <c r="K6" s="108">
        <v>181408.908</v>
      </c>
      <c r="L6" s="108">
        <v>4416.28</v>
      </c>
      <c r="M6" s="108">
        <v>2231.1799999999998</v>
      </c>
      <c r="N6" s="108">
        <v>2231.1799999999998</v>
      </c>
      <c r="O6" s="200">
        <v>41.077311221208802</v>
      </c>
      <c r="P6" s="200">
        <v>81.306263053630815</v>
      </c>
      <c r="Q6" s="200">
        <v>75.0941690047419</v>
      </c>
    </row>
    <row r="7" spans="1:17" x14ac:dyDescent="0.3">
      <c r="D7" s="107" t="s">
        <v>179</v>
      </c>
      <c r="E7" s="107" t="s">
        <v>196</v>
      </c>
      <c r="F7" s="107">
        <v>1137.7</v>
      </c>
      <c r="G7" s="107">
        <v>100.62</v>
      </c>
      <c r="H7" s="108">
        <v>114475.37400000001</v>
      </c>
      <c r="I7" s="108">
        <v>12496</v>
      </c>
      <c r="J7" s="108">
        <v>1416.6</v>
      </c>
      <c r="K7" s="108">
        <v>125554.774</v>
      </c>
      <c r="L7" s="108">
        <v>8982.2999999999993</v>
      </c>
      <c r="M7" s="108">
        <v>4868.59</v>
      </c>
      <c r="N7" s="108">
        <v>4868.59</v>
      </c>
      <c r="O7" s="200">
        <v>13.97802055152912</v>
      </c>
      <c r="P7" s="200">
        <v>25.788734315274031</v>
      </c>
      <c r="Q7" s="200">
        <v>23.513044639207656</v>
      </c>
    </row>
    <row r="8" spans="1:17" x14ac:dyDescent="0.3">
      <c r="D8" s="107" t="s">
        <v>180</v>
      </c>
      <c r="E8" s="107" t="s">
        <v>197</v>
      </c>
      <c r="F8" s="107">
        <v>1374.3</v>
      </c>
      <c r="G8" s="107">
        <v>80.760000000000005</v>
      </c>
      <c r="H8" s="108">
        <v>110988.46800000001</v>
      </c>
      <c r="I8" s="108">
        <v>613.77</v>
      </c>
      <c r="J8" s="108">
        <v>1307.42</v>
      </c>
      <c r="K8" s="108">
        <v>110294.81800000001</v>
      </c>
      <c r="L8" s="108">
        <v>6388.29</v>
      </c>
      <c r="M8" s="108">
        <v>3579.05</v>
      </c>
      <c r="N8" s="108">
        <v>3579.05</v>
      </c>
      <c r="O8" s="200">
        <v>17.265155151065468</v>
      </c>
      <c r="P8" s="200">
        <v>30.816786018636233</v>
      </c>
      <c r="Q8" s="200">
        <v>31.010594431483216</v>
      </c>
    </row>
    <row r="9" spans="1:17" x14ac:dyDescent="0.3">
      <c r="D9" s="107" t="s">
        <v>181</v>
      </c>
      <c r="E9" s="107" t="s">
        <v>198</v>
      </c>
      <c r="F9" s="107">
        <v>1931.65</v>
      </c>
      <c r="G9" s="107">
        <v>53.93</v>
      </c>
      <c r="H9" s="108">
        <v>104173.8845</v>
      </c>
      <c r="I9" s="108">
        <v>2518.48</v>
      </c>
      <c r="J9" s="108">
        <v>113.7</v>
      </c>
      <c r="K9" s="108">
        <v>106578.6645</v>
      </c>
      <c r="L9" s="108">
        <v>1840.14</v>
      </c>
      <c r="M9" s="108">
        <v>1093.3699999999999</v>
      </c>
      <c r="N9" s="108">
        <v>1093.3699999999999</v>
      </c>
      <c r="O9" s="200">
        <v>57.918780364537476</v>
      </c>
      <c r="P9" s="200">
        <v>97.477216770169306</v>
      </c>
      <c r="Q9" s="200">
        <v>95.277796628771611</v>
      </c>
    </row>
    <row r="10" spans="1:17" x14ac:dyDescent="0.3">
      <c r="D10" s="107" t="s">
        <v>182</v>
      </c>
      <c r="E10" s="107" t="s">
        <v>199</v>
      </c>
      <c r="F10" s="107">
        <v>1677.2</v>
      </c>
      <c r="G10" s="107">
        <v>58.08</v>
      </c>
      <c r="H10" s="108">
        <v>97411.775999999998</v>
      </c>
      <c r="I10" s="108">
        <v>8072.84</v>
      </c>
      <c r="J10" s="108">
        <v>9870.2900000000009</v>
      </c>
      <c r="K10" s="108">
        <v>95614.326000000001</v>
      </c>
      <c r="L10" s="108">
        <v>7362.22</v>
      </c>
      <c r="M10" s="108">
        <v>3780.97</v>
      </c>
      <c r="N10" s="108">
        <v>3780.97</v>
      </c>
      <c r="O10" s="200">
        <v>12.987159579583333</v>
      </c>
      <c r="P10" s="200">
        <v>25.288305910917042</v>
      </c>
      <c r="Q10" s="200">
        <v>25.76369979132339</v>
      </c>
    </row>
    <row r="11" spans="1:17" x14ac:dyDescent="0.3">
      <c r="O11" s="168"/>
      <c r="P11" s="168"/>
      <c r="Q11" s="168"/>
    </row>
    <row r="12" spans="1:17" x14ac:dyDescent="0.3">
      <c r="D12" s="97" t="s">
        <v>209</v>
      </c>
      <c r="E12" s="98"/>
      <c r="F12" s="98"/>
      <c r="G12" s="98"/>
      <c r="H12" s="98"/>
      <c r="I12" s="98"/>
      <c r="J12" s="98"/>
      <c r="K12" s="98"/>
      <c r="L12" s="98"/>
      <c r="M12" s="98"/>
      <c r="N12" s="99"/>
      <c r="O12" s="199">
        <f ca="1">AVERAGE(O4:O15)</f>
        <v>29.554638641901715</v>
      </c>
      <c r="P12" s="199">
        <f ca="1">AVERAGE(P4:P15)</f>
        <v>48.845297728703507</v>
      </c>
      <c r="Q12" s="199">
        <f ca="1">AVERAGE(Q4:Q15)</f>
        <v>47.946688025261082</v>
      </c>
    </row>
    <row r="13" spans="1:17" x14ac:dyDescent="0.3">
      <c r="D13" s="100" t="s">
        <v>210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2"/>
      <c r="O13" s="199">
        <v>19.94223999918934</v>
      </c>
      <c r="P13" s="199">
        <v>32.941494515026761</v>
      </c>
      <c r="Q13" s="199">
        <v>33.314500455140653</v>
      </c>
    </row>
    <row r="14" spans="1:17" x14ac:dyDescent="0.3">
      <c r="O14" s="168"/>
      <c r="P14" s="168"/>
      <c r="Q14" s="168"/>
    </row>
    <row r="15" spans="1:17" x14ac:dyDescent="0.3">
      <c r="D15" s="107" t="s">
        <v>183</v>
      </c>
      <c r="E15" s="107" t="s">
        <v>193</v>
      </c>
      <c r="F15" s="107">
        <v>5199.5</v>
      </c>
      <c r="G15" s="107">
        <v>11.96</v>
      </c>
      <c r="H15" s="108">
        <v>62186.020000000004</v>
      </c>
      <c r="I15" s="108">
        <v>2047.16</v>
      </c>
      <c r="J15" s="108">
        <v>1732.9</v>
      </c>
      <c r="K15" s="108">
        <v>62500.280000000006</v>
      </c>
      <c r="L15" s="108">
        <v>3590.06</v>
      </c>
      <c r="M15" s="108">
        <v>2272.9</v>
      </c>
      <c r="N15" s="109">
        <v>2272.9</v>
      </c>
      <c r="O15" s="200">
        <v>17.409257783992469</v>
      </c>
      <c r="P15" s="200">
        <v>27.498033349465441</v>
      </c>
      <c r="Q15" s="200">
        <v>27.359769457521228</v>
      </c>
    </row>
    <row r="17" spans="3:13" x14ac:dyDescent="0.3">
      <c r="D17" s="89" t="s">
        <v>211</v>
      </c>
      <c r="E17" s="92" t="s">
        <v>217</v>
      </c>
      <c r="F17" s="92" t="s">
        <v>205</v>
      </c>
      <c r="G17" s="92" t="s">
        <v>212</v>
      </c>
      <c r="H17" s="92" t="s">
        <v>213</v>
      </c>
      <c r="I17" s="92" t="s">
        <v>203</v>
      </c>
      <c r="J17" s="92" t="s">
        <v>214</v>
      </c>
    </row>
    <row r="18" spans="3:13" x14ac:dyDescent="0.3">
      <c r="D18" s="91" t="s">
        <v>206</v>
      </c>
      <c r="E18" s="200">
        <f>O13</f>
        <v>19.94223999918934</v>
      </c>
      <c r="F18" s="103">
        <f>E18*L15</f>
        <v>71593.838131489683</v>
      </c>
      <c r="G18" s="103">
        <f>I15-J15</f>
        <v>314.26</v>
      </c>
      <c r="H18" s="103">
        <f>F18-G18</f>
        <v>71279.578131489689</v>
      </c>
      <c r="I18" s="90">
        <f>G15</f>
        <v>11.96</v>
      </c>
      <c r="J18" s="104">
        <f>H18/I18</f>
        <v>5959.8309474489706</v>
      </c>
      <c r="K18" s="3"/>
      <c r="L18" s="3"/>
    </row>
    <row r="19" spans="3:13" x14ac:dyDescent="0.3">
      <c r="D19" s="91" t="s">
        <v>207</v>
      </c>
      <c r="E19" s="200">
        <f>P13</f>
        <v>32.941494515026761</v>
      </c>
      <c r="F19" s="103">
        <f>E19*M15</f>
        <v>74872.722883204333</v>
      </c>
      <c r="G19" s="103">
        <f>G18</f>
        <v>314.26</v>
      </c>
      <c r="H19" s="103">
        <f>F19-G19</f>
        <v>74558.462883204338</v>
      </c>
      <c r="I19" s="90">
        <f>I18</f>
        <v>11.96</v>
      </c>
      <c r="J19" s="104">
        <f>H19/I19</f>
        <v>6233.9851909033723</v>
      </c>
      <c r="K19" s="3"/>
      <c r="L19" s="3"/>
    </row>
    <row r="20" spans="3:13" x14ac:dyDescent="0.3">
      <c r="D20" s="91" t="s">
        <v>208</v>
      </c>
      <c r="E20" s="200">
        <f>Q13</f>
        <v>33.314500455140653</v>
      </c>
      <c r="F20" s="103">
        <f>G20+H20</f>
        <v>76034.788084489192</v>
      </c>
      <c r="G20" s="103">
        <f>G18</f>
        <v>314.26</v>
      </c>
      <c r="H20" s="103">
        <f>E20*N15</f>
        <v>75720.528084489197</v>
      </c>
      <c r="I20" s="90">
        <f>I18</f>
        <v>11.96</v>
      </c>
      <c r="J20" s="104">
        <f>H20/I20</f>
        <v>6331.1478331512699</v>
      </c>
      <c r="K20" s="3"/>
      <c r="L20" s="3"/>
    </row>
    <row r="22" spans="3:13" x14ac:dyDescent="0.3">
      <c r="C22" s="80" t="s">
        <v>219</v>
      </c>
    </row>
    <row r="23" spans="3:13" x14ac:dyDescent="0.3">
      <c r="D23" s="91"/>
      <c r="E23" s="91"/>
      <c r="F23" s="91"/>
      <c r="G23" s="91"/>
      <c r="H23" s="217" t="s">
        <v>186</v>
      </c>
      <c r="I23" s="217"/>
      <c r="J23" s="217"/>
      <c r="K23" s="217"/>
      <c r="L23" s="217"/>
      <c r="M23" s="217"/>
    </row>
    <row r="24" spans="3:13" x14ac:dyDescent="0.3">
      <c r="D24" s="89" t="s">
        <v>175</v>
      </c>
      <c r="E24" s="94" t="s">
        <v>184</v>
      </c>
      <c r="F24" s="92" t="s">
        <v>191</v>
      </c>
      <c r="G24" s="92" t="s">
        <v>190</v>
      </c>
      <c r="H24" s="93" t="s">
        <v>187</v>
      </c>
      <c r="I24" s="92" t="s">
        <v>185</v>
      </c>
      <c r="J24" s="92" t="s">
        <v>188</v>
      </c>
      <c r="K24" s="92" t="s">
        <v>5</v>
      </c>
      <c r="L24" s="92" t="s">
        <v>12</v>
      </c>
      <c r="M24" s="92" t="s">
        <v>189</v>
      </c>
    </row>
    <row r="25" spans="3:13" x14ac:dyDescent="0.3">
      <c r="D25" s="91" t="s">
        <v>176</v>
      </c>
      <c r="E25" s="95" t="s">
        <v>192</v>
      </c>
      <c r="F25" s="91">
        <v>1875.35</v>
      </c>
      <c r="G25" s="91">
        <v>239.93</v>
      </c>
      <c r="H25" s="90">
        <v>449959.27</v>
      </c>
      <c r="I25" s="91">
        <v>4627.32</v>
      </c>
      <c r="J25" s="91">
        <v>11603.08</v>
      </c>
      <c r="K25" s="91">
        <v>59910.52</v>
      </c>
      <c r="L25" s="91">
        <v>19709.57</v>
      </c>
      <c r="M25" s="91">
        <v>12632.59</v>
      </c>
    </row>
    <row r="26" spans="3:13" x14ac:dyDescent="0.3">
      <c r="D26" s="91" t="s">
        <v>177</v>
      </c>
      <c r="E26" s="95" t="s">
        <v>194</v>
      </c>
      <c r="F26" s="91">
        <v>9489.7000000000007</v>
      </c>
      <c r="G26" s="91">
        <v>26.55</v>
      </c>
      <c r="H26" s="91">
        <v>251921.74</v>
      </c>
      <c r="I26" s="91">
        <v>7</v>
      </c>
      <c r="J26" s="91">
        <v>3414</v>
      </c>
      <c r="K26" s="91">
        <v>11230</v>
      </c>
      <c r="L26" s="91">
        <v>3949</v>
      </c>
      <c r="M26" s="91">
        <v>2979.27</v>
      </c>
    </row>
    <row r="27" spans="3:13" x14ac:dyDescent="0.3">
      <c r="D27" s="91" t="s">
        <v>178</v>
      </c>
      <c r="E27" s="95" t="s">
        <v>195</v>
      </c>
      <c r="F27" s="91">
        <v>4951.2</v>
      </c>
      <c r="G27" s="91">
        <v>33.840000000000003</v>
      </c>
      <c r="H27" s="91">
        <v>188327.75</v>
      </c>
      <c r="I27" s="91">
        <v>15025.5</v>
      </c>
      <c r="J27" s="91">
        <v>1165.2</v>
      </c>
      <c r="K27" s="91">
        <v>15723</v>
      </c>
      <c r="L27" s="91">
        <v>4416.28</v>
      </c>
      <c r="M27" s="91">
        <v>2231.1799999999998</v>
      </c>
    </row>
    <row r="28" spans="3:13" x14ac:dyDescent="0.3">
      <c r="D28" s="91" t="s">
        <v>179</v>
      </c>
      <c r="E28" s="95" t="s">
        <v>196</v>
      </c>
      <c r="F28" s="91">
        <v>1137.7</v>
      </c>
      <c r="G28" s="91">
        <v>100.62</v>
      </c>
      <c r="H28" s="91">
        <v>113485.99</v>
      </c>
      <c r="I28" s="91">
        <v>12496</v>
      </c>
      <c r="J28" s="91">
        <v>1416.6</v>
      </c>
      <c r="K28" s="91">
        <v>28591.7</v>
      </c>
      <c r="L28" s="91">
        <v>8982.2999999999993</v>
      </c>
      <c r="M28" s="91">
        <v>4868.59</v>
      </c>
    </row>
    <row r="29" spans="3:13" x14ac:dyDescent="0.3">
      <c r="D29" s="91" t="s">
        <v>180</v>
      </c>
      <c r="E29" s="95" t="s">
        <v>197</v>
      </c>
      <c r="F29" s="91">
        <v>1374.3</v>
      </c>
      <c r="G29" s="91">
        <v>80.760000000000005</v>
      </c>
      <c r="H29" s="91">
        <v>111023.92</v>
      </c>
      <c r="I29" s="91">
        <v>613.77</v>
      </c>
      <c r="J29" s="91">
        <v>1307.42</v>
      </c>
      <c r="K29" s="91">
        <v>28324.400000000001</v>
      </c>
      <c r="L29" s="91">
        <v>6388.29</v>
      </c>
      <c r="M29" s="91">
        <v>3579.05</v>
      </c>
    </row>
    <row r="30" spans="3:13" x14ac:dyDescent="0.3">
      <c r="D30" s="91" t="s">
        <v>181</v>
      </c>
      <c r="E30" s="95" t="s">
        <v>198</v>
      </c>
      <c r="F30" s="91">
        <v>1931.65</v>
      </c>
      <c r="G30" s="91">
        <v>53.93</v>
      </c>
      <c r="H30" s="91">
        <v>104369.42</v>
      </c>
      <c r="I30" s="91">
        <v>2518.48</v>
      </c>
      <c r="J30" s="91">
        <v>113.7</v>
      </c>
      <c r="K30" s="91">
        <v>7269.64</v>
      </c>
      <c r="L30" s="91">
        <v>1840.14</v>
      </c>
      <c r="M30" s="91">
        <v>1093.3699999999999</v>
      </c>
    </row>
    <row r="31" spans="3:13" x14ac:dyDescent="0.3">
      <c r="D31" s="91" t="s">
        <v>182</v>
      </c>
      <c r="E31" s="95" t="s">
        <v>199</v>
      </c>
      <c r="F31" s="91">
        <v>1677.2</v>
      </c>
      <c r="G31" s="91">
        <v>58.08</v>
      </c>
      <c r="H31" s="91">
        <v>96502.38</v>
      </c>
      <c r="I31" s="91">
        <v>8072.84</v>
      </c>
      <c r="J31" s="91">
        <v>9870.2900000000009</v>
      </c>
      <c r="K31" s="91">
        <v>34935.29</v>
      </c>
      <c r="L31" s="91">
        <v>7362.22</v>
      </c>
      <c r="M31" s="91">
        <v>3780.97</v>
      </c>
    </row>
    <row r="32" spans="3:13" x14ac:dyDescent="0.3">
      <c r="D32" s="91" t="s">
        <v>183</v>
      </c>
      <c r="E32" s="95" t="s">
        <v>193</v>
      </c>
      <c r="F32" s="91">
        <v>5199.5</v>
      </c>
      <c r="G32" s="91">
        <v>11.96</v>
      </c>
      <c r="H32" s="91">
        <v>62167.79</v>
      </c>
      <c r="I32" s="91">
        <v>2047.16</v>
      </c>
      <c r="J32" s="91">
        <v>1732.9</v>
      </c>
      <c r="K32" s="91">
        <v>15081.28</v>
      </c>
      <c r="L32" s="91">
        <v>3590.06</v>
      </c>
      <c r="M32" s="91">
        <v>2272.9</v>
      </c>
    </row>
  </sheetData>
  <mergeCells count="5">
    <mergeCell ref="H23:M23"/>
    <mergeCell ref="F2:K2"/>
    <mergeCell ref="L2:N2"/>
    <mergeCell ref="O2:Q2"/>
    <mergeCell ref="O1:Q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CFB3-4190-4FC3-891D-3CCBDD82CC18}">
  <dimension ref="A1:V2900"/>
  <sheetViews>
    <sheetView showGridLines="0" workbookViewId="0">
      <selection activeCell="H20" sqref="H20"/>
    </sheetView>
  </sheetViews>
  <sheetFormatPr defaultRowHeight="14.4" x14ac:dyDescent="0.3"/>
  <cols>
    <col min="1" max="3" width="1.296875" style="13" customWidth="1"/>
    <col min="4" max="4" width="4.8984375" style="14" bestFit="1" customWidth="1"/>
    <col min="5" max="5" width="14.296875" style="14" bestFit="1" customWidth="1"/>
    <col min="6" max="6" width="7.19921875" style="14" bestFit="1" customWidth="1"/>
    <col min="7" max="7" width="16.19921875" style="14" bestFit="1" customWidth="1"/>
    <col min="8" max="8" width="13.3984375" style="14" bestFit="1" customWidth="1"/>
    <col min="9" max="9" width="1.8984375" customWidth="1"/>
    <col min="10" max="16384" width="8.796875" style="1"/>
  </cols>
  <sheetData>
    <row r="1" spans="1:22" ht="25.05" customHeight="1" x14ac:dyDescent="0.3">
      <c r="A1" s="122" t="s">
        <v>289</v>
      </c>
      <c r="B1" s="8"/>
      <c r="C1" s="8"/>
      <c r="D1" s="9"/>
      <c r="E1" s="9"/>
      <c r="F1" s="9"/>
      <c r="G1" s="9"/>
      <c r="H1" s="9"/>
      <c r="J1" s="177" t="s">
        <v>297</v>
      </c>
      <c r="K1" s="165"/>
      <c r="L1" s="174"/>
      <c r="M1" s="165"/>
      <c r="N1" s="165"/>
      <c r="O1" s="174"/>
      <c r="P1" s="165"/>
      <c r="Q1" s="174"/>
      <c r="R1" s="165"/>
      <c r="S1" s="174"/>
      <c r="T1" s="165"/>
      <c r="U1" s="174"/>
      <c r="V1" s="165"/>
    </row>
    <row r="2" spans="1:22" x14ac:dyDescent="0.3">
      <c r="B2" s="171" t="s">
        <v>290</v>
      </c>
      <c r="C2" s="172"/>
      <c r="D2" s="173"/>
      <c r="E2" s="173"/>
      <c r="F2" s="165"/>
      <c r="G2" s="165"/>
      <c r="H2" s="17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x14ac:dyDescent="0.3">
      <c r="E3" s="15"/>
      <c r="H3" s="15"/>
      <c r="J3" s="15"/>
      <c r="K3" s="14"/>
      <c r="L3" s="15"/>
      <c r="M3" s="14"/>
      <c r="N3" s="14"/>
      <c r="O3" s="15"/>
      <c r="P3" s="14"/>
      <c r="Q3" s="15"/>
      <c r="R3" s="14"/>
      <c r="S3" s="15"/>
      <c r="T3" s="14"/>
      <c r="U3" s="15"/>
      <c r="V3" s="14"/>
    </row>
    <row r="4" spans="1:22" x14ac:dyDescent="0.3">
      <c r="D4" s="169"/>
      <c r="E4" s="112" t="s">
        <v>293</v>
      </c>
      <c r="F4" s="92" t="s">
        <v>294</v>
      </c>
      <c r="G4" s="89" t="s">
        <v>295</v>
      </c>
      <c r="H4" s="89" t="s">
        <v>296</v>
      </c>
      <c r="J4" s="15"/>
      <c r="K4" s="14"/>
      <c r="L4" s="15"/>
      <c r="M4" s="14"/>
      <c r="N4" s="14"/>
      <c r="O4" s="15"/>
      <c r="P4" s="14"/>
      <c r="Q4" s="15"/>
      <c r="R4" s="14"/>
      <c r="S4" s="15"/>
      <c r="T4" s="14"/>
      <c r="U4" s="15"/>
      <c r="V4" s="14"/>
    </row>
    <row r="5" spans="1:22" x14ac:dyDescent="0.3">
      <c r="D5" s="169" t="s">
        <v>291</v>
      </c>
      <c r="E5" s="170">
        <f>MAX('Relative Valuation'!J18:J20)</f>
        <v>6331.1478331512699</v>
      </c>
      <c r="F5" s="170">
        <v>7513.1</v>
      </c>
      <c r="G5" s="170">
        <v>5933.5</v>
      </c>
      <c r="H5" s="170">
        <v>6850</v>
      </c>
      <c r="J5" s="15"/>
      <c r="K5" s="14"/>
      <c r="L5" s="15"/>
      <c r="M5" s="14"/>
      <c r="N5" s="14"/>
      <c r="O5" s="15"/>
      <c r="P5" s="14"/>
      <c r="Q5" s="15"/>
      <c r="R5" s="14"/>
      <c r="S5" s="15"/>
      <c r="T5" s="14"/>
      <c r="U5" s="15"/>
      <c r="V5" s="14"/>
    </row>
    <row r="6" spans="1:22" x14ac:dyDescent="0.3">
      <c r="D6" s="169" t="s">
        <v>291</v>
      </c>
      <c r="E6" s="170">
        <f>E5</f>
        <v>6331.1478331512699</v>
      </c>
      <c r="F6" s="170">
        <f>F5</f>
        <v>7513.1</v>
      </c>
      <c r="G6" s="170">
        <f>G5</f>
        <v>5933.5</v>
      </c>
      <c r="H6" s="170">
        <f>H5</f>
        <v>6850</v>
      </c>
      <c r="J6" s="15"/>
      <c r="K6" s="14"/>
      <c r="L6" s="15"/>
      <c r="M6" s="14"/>
      <c r="N6" s="14"/>
      <c r="O6" s="15"/>
      <c r="P6" s="14"/>
      <c r="Q6" s="15"/>
      <c r="R6" s="14"/>
      <c r="S6" s="15"/>
      <c r="T6" s="14"/>
      <c r="U6" s="15"/>
      <c r="V6" s="14"/>
    </row>
    <row r="7" spans="1:22" x14ac:dyDescent="0.3">
      <c r="D7" s="169" t="s">
        <v>292</v>
      </c>
      <c r="E7" s="170">
        <f>MIN('Relative Valuation'!J18:J20)</f>
        <v>5959.8309474489706</v>
      </c>
      <c r="F7" s="170">
        <v>5253.75</v>
      </c>
      <c r="G7" s="170">
        <v>5051</v>
      </c>
      <c r="H7" s="170">
        <v>4590</v>
      </c>
      <c r="J7" s="15"/>
      <c r="K7" s="14"/>
      <c r="L7" s="15"/>
      <c r="M7" s="14"/>
      <c r="N7" s="14"/>
      <c r="O7" s="15"/>
      <c r="P7" s="14"/>
      <c r="Q7" s="15"/>
      <c r="R7" s="14"/>
      <c r="S7" s="15"/>
      <c r="T7" s="14"/>
      <c r="U7" s="15"/>
      <c r="V7" s="14"/>
    </row>
    <row r="8" spans="1:22" x14ac:dyDescent="0.3">
      <c r="D8" s="169" t="s">
        <v>292</v>
      </c>
      <c r="E8" s="170">
        <f>MIN('Relative Valuation'!J19:J21)</f>
        <v>6233.9851909033723</v>
      </c>
      <c r="F8" s="170">
        <v>5253.75</v>
      </c>
      <c r="G8" s="170">
        <v>5051</v>
      </c>
      <c r="H8" s="170">
        <v>4590</v>
      </c>
      <c r="J8" s="15"/>
      <c r="K8" s="14"/>
      <c r="L8" s="15"/>
      <c r="M8" s="14"/>
      <c r="N8" s="14"/>
      <c r="O8" s="15"/>
      <c r="P8" s="14"/>
      <c r="Q8" s="15"/>
      <c r="R8" s="14"/>
      <c r="S8" s="15"/>
      <c r="T8" s="14"/>
      <c r="U8" s="15"/>
      <c r="V8" s="14"/>
    </row>
    <row r="9" spans="1:22" x14ac:dyDescent="0.3">
      <c r="D9" s="123"/>
      <c r="E9" s="15"/>
      <c r="F9" s="15"/>
      <c r="G9" s="15"/>
      <c r="H9" s="15"/>
      <c r="J9" s="15"/>
      <c r="K9" s="14"/>
      <c r="L9" s="15"/>
      <c r="M9" s="14"/>
      <c r="N9" s="14"/>
      <c r="O9" s="15"/>
      <c r="P9" s="14"/>
      <c r="Q9" s="15"/>
      <c r="R9" s="14"/>
      <c r="S9" s="15"/>
      <c r="T9" s="14"/>
      <c r="U9" s="15"/>
      <c r="V9" s="14"/>
    </row>
    <row r="10" spans="1:22" x14ac:dyDescent="0.3">
      <c r="D10" s="123"/>
      <c r="E10" s="15"/>
      <c r="J10" s="15"/>
      <c r="K10" s="14"/>
      <c r="L10" s="15"/>
      <c r="M10" s="14"/>
      <c r="N10" s="14"/>
      <c r="O10" s="15"/>
      <c r="P10" s="14"/>
      <c r="Q10" s="15"/>
      <c r="R10" s="14"/>
      <c r="S10" s="15"/>
      <c r="T10" s="14"/>
      <c r="U10" s="15"/>
      <c r="V10" s="14"/>
    </row>
    <row r="11" spans="1:22" x14ac:dyDescent="0.3">
      <c r="D11" s="123"/>
      <c r="E11" s="15"/>
      <c r="J11" s="15"/>
      <c r="K11" s="14"/>
      <c r="L11" s="15"/>
      <c r="M11" s="14"/>
      <c r="N11" s="14"/>
      <c r="O11" s="15"/>
      <c r="P11" s="14"/>
      <c r="Q11" s="15"/>
      <c r="R11" s="14"/>
      <c r="S11" s="15"/>
      <c r="T11" s="14"/>
      <c r="U11" s="15"/>
      <c r="V11" s="14"/>
    </row>
    <row r="12" spans="1:22" x14ac:dyDescent="0.3">
      <c r="D12" s="123"/>
      <c r="E12" s="15"/>
      <c r="J12" s="15"/>
      <c r="K12" s="14"/>
      <c r="L12" s="15"/>
      <c r="M12" s="14"/>
      <c r="N12" s="14"/>
      <c r="O12" s="15"/>
      <c r="P12" s="14"/>
      <c r="Q12" s="15"/>
      <c r="R12" s="14"/>
      <c r="S12" s="15"/>
      <c r="T12" s="14"/>
      <c r="U12" s="15"/>
      <c r="V12" s="14"/>
    </row>
    <row r="13" spans="1:22" x14ac:dyDescent="0.3">
      <c r="D13" s="123"/>
      <c r="E13" s="15"/>
      <c r="J13" s="15"/>
      <c r="K13" s="14"/>
      <c r="L13" s="15"/>
      <c r="M13" s="14"/>
      <c r="N13" s="14"/>
      <c r="O13" s="15"/>
      <c r="P13" s="14"/>
      <c r="Q13" s="15"/>
      <c r="R13" s="14"/>
      <c r="S13" s="15"/>
      <c r="T13" s="14"/>
      <c r="U13" s="15"/>
      <c r="V13" s="14"/>
    </row>
    <row r="14" spans="1:22" x14ac:dyDescent="0.3">
      <c r="D14" s="123"/>
      <c r="E14" s="15"/>
      <c r="J14" s="15"/>
      <c r="K14" s="14"/>
      <c r="L14" s="15"/>
      <c r="M14" s="14"/>
      <c r="N14" s="14"/>
      <c r="O14" s="15"/>
      <c r="P14" s="14"/>
      <c r="Q14" s="15"/>
      <c r="R14" s="14"/>
      <c r="S14" s="15"/>
      <c r="T14" s="14"/>
      <c r="U14" s="15"/>
      <c r="V14" s="14"/>
    </row>
    <row r="15" spans="1:22" x14ac:dyDescent="0.3">
      <c r="D15" s="123"/>
      <c r="E15" s="15"/>
      <c r="J15" s="15"/>
      <c r="K15" s="14"/>
      <c r="L15" s="15"/>
      <c r="M15" s="14"/>
      <c r="N15" s="14"/>
      <c r="O15" s="15"/>
      <c r="P15" s="14"/>
      <c r="Q15" s="15"/>
      <c r="R15" s="14"/>
      <c r="S15" s="15"/>
      <c r="T15" s="14"/>
      <c r="U15" s="15"/>
      <c r="V15" s="14"/>
    </row>
    <row r="16" spans="1:22" x14ac:dyDescent="0.3">
      <c r="D16" s="123"/>
      <c r="E16" s="15"/>
      <c r="J16" s="15"/>
      <c r="K16" s="14"/>
      <c r="L16" s="15"/>
      <c r="M16" s="14"/>
      <c r="N16" s="14"/>
      <c r="O16" s="15"/>
      <c r="P16" s="14"/>
      <c r="Q16" s="15"/>
      <c r="R16" s="14"/>
      <c r="S16" s="15"/>
      <c r="T16" s="14"/>
      <c r="U16" s="15"/>
      <c r="V16" s="14"/>
    </row>
    <row r="17" spans="1:22" x14ac:dyDescent="0.3">
      <c r="D17" s="123"/>
      <c r="E17" s="15"/>
      <c r="J17" s="15"/>
      <c r="K17" s="14"/>
      <c r="L17" s="15"/>
      <c r="M17" s="14"/>
      <c r="N17" s="14"/>
      <c r="O17" s="15"/>
      <c r="P17" s="14"/>
      <c r="Q17" s="15"/>
      <c r="R17" s="14"/>
      <c r="S17" s="15"/>
      <c r="T17" s="14"/>
      <c r="U17" s="15"/>
      <c r="V17" s="14"/>
    </row>
    <row r="18" spans="1:22" x14ac:dyDescent="0.3">
      <c r="D18" s="123"/>
      <c r="E18" s="15"/>
      <c r="J18" s="15"/>
      <c r="K18" s="14"/>
      <c r="L18" s="15"/>
      <c r="M18" s="14"/>
      <c r="N18" s="14"/>
      <c r="O18" s="15"/>
      <c r="P18" s="14"/>
      <c r="Q18" s="15"/>
      <c r="R18" s="14"/>
      <c r="S18" s="15"/>
      <c r="T18" s="14"/>
      <c r="U18" s="15"/>
      <c r="V18" s="14"/>
    </row>
    <row r="19" spans="1:22" x14ac:dyDescent="0.3">
      <c r="D19" s="123"/>
      <c r="E19" s="15"/>
      <c r="J19" s="15"/>
      <c r="K19" s="14"/>
      <c r="L19" s="15"/>
      <c r="M19" s="14"/>
      <c r="N19" s="14"/>
      <c r="O19" s="15"/>
      <c r="P19" s="14"/>
      <c r="Q19" s="15"/>
      <c r="R19" s="14"/>
      <c r="S19" s="15"/>
      <c r="T19" s="14"/>
      <c r="U19" s="15"/>
      <c r="V19" s="14"/>
    </row>
    <row r="20" spans="1:22" x14ac:dyDescent="0.3">
      <c r="D20" s="123"/>
      <c r="E20" s="15"/>
      <c r="J20" s="15"/>
      <c r="K20" s="14"/>
      <c r="L20" s="15"/>
      <c r="M20" s="14"/>
      <c r="N20" s="14"/>
      <c r="O20" s="15"/>
      <c r="P20" s="14"/>
      <c r="Q20" s="15"/>
      <c r="R20" s="14"/>
      <c r="S20" s="15"/>
      <c r="T20" s="14"/>
      <c r="U20" s="15"/>
      <c r="V20" s="14"/>
    </row>
    <row r="21" spans="1:22" x14ac:dyDescent="0.3">
      <c r="D21" s="123"/>
      <c r="E21" s="15"/>
      <c r="J21" s="15"/>
      <c r="K21" s="14"/>
      <c r="L21" s="15"/>
      <c r="M21" s="14"/>
      <c r="N21" s="14"/>
      <c r="O21" s="15"/>
      <c r="P21" s="14"/>
      <c r="Q21" s="15"/>
      <c r="R21" s="14"/>
      <c r="S21" s="15"/>
      <c r="T21" s="14"/>
      <c r="U21" s="15"/>
      <c r="V21" s="14"/>
    </row>
    <row r="22" spans="1:22" x14ac:dyDescent="0.3">
      <c r="D22" s="123"/>
      <c r="E22" s="15"/>
      <c r="J22" s="15"/>
      <c r="K22" s="14"/>
      <c r="L22" s="15"/>
      <c r="M22" s="14"/>
      <c r="N22" s="14"/>
      <c r="O22" s="15"/>
      <c r="P22" s="14"/>
      <c r="Q22" s="15"/>
      <c r="R22" s="14"/>
      <c r="S22" s="15"/>
      <c r="T22" s="14"/>
      <c r="U22" s="15"/>
      <c r="V22" s="14"/>
    </row>
    <row r="23" spans="1:22" x14ac:dyDescent="0.3">
      <c r="D23" s="123"/>
      <c r="E23" s="15"/>
      <c r="J23" s="15"/>
      <c r="K23" s="14"/>
      <c r="L23" s="15"/>
      <c r="M23" s="14"/>
      <c r="N23" s="14"/>
      <c r="O23" s="15"/>
      <c r="P23" s="14"/>
      <c r="Q23" s="15"/>
      <c r="R23" s="14"/>
      <c r="S23" s="15"/>
      <c r="T23" s="14"/>
      <c r="U23" s="15"/>
      <c r="V23" s="14"/>
    </row>
    <row r="24" spans="1:22" x14ac:dyDescent="0.3">
      <c r="D24" s="123"/>
      <c r="E24" s="15"/>
      <c r="J24" s="15"/>
      <c r="K24" s="14"/>
      <c r="L24" s="15"/>
      <c r="M24" s="14"/>
      <c r="N24" s="14"/>
      <c r="O24" s="15"/>
      <c r="P24" s="14"/>
      <c r="Q24" s="15"/>
      <c r="R24" s="14"/>
      <c r="S24" s="15"/>
      <c r="T24" s="14"/>
      <c r="U24" s="15"/>
      <c r="V24" s="14"/>
    </row>
    <row r="25" spans="1:22" x14ac:dyDescent="0.3">
      <c r="D25" s="123"/>
      <c r="E25" s="15"/>
      <c r="J25" s="15"/>
      <c r="K25" s="14"/>
      <c r="L25" s="15"/>
      <c r="M25" s="14"/>
      <c r="N25" s="14"/>
      <c r="O25" s="15"/>
      <c r="P25" s="14"/>
      <c r="Q25" s="15"/>
      <c r="R25" s="14"/>
      <c r="S25" s="15"/>
      <c r="T25" s="14"/>
      <c r="U25" s="15"/>
      <c r="V25" s="14"/>
    </row>
    <row r="26" spans="1:22" s="176" customFormat="1" x14ac:dyDescent="0.3">
      <c r="A26" s="172"/>
      <c r="B26" s="172"/>
      <c r="C26" s="172"/>
      <c r="D26" s="175"/>
      <c r="E26" s="174"/>
      <c r="F26" s="165"/>
      <c r="G26" s="165"/>
      <c r="H26" s="165"/>
      <c r="J26" s="174"/>
      <c r="K26" s="165"/>
      <c r="L26" s="174"/>
      <c r="M26" s="165"/>
      <c r="N26" s="165"/>
      <c r="O26" s="174"/>
      <c r="P26" s="165"/>
      <c r="Q26" s="174"/>
      <c r="R26" s="165"/>
      <c r="S26" s="174"/>
      <c r="T26" s="165"/>
      <c r="U26" s="174"/>
      <c r="V26" s="165"/>
    </row>
    <row r="27" spans="1:22" s="176" customFormat="1" x14ac:dyDescent="0.3">
      <c r="A27" s="172"/>
      <c r="B27" s="172"/>
      <c r="C27" s="172"/>
      <c r="D27" s="175"/>
      <c r="E27" s="174"/>
      <c r="F27" s="165"/>
      <c r="G27" s="165"/>
      <c r="H27" s="165"/>
      <c r="J27" s="174"/>
      <c r="K27" s="165"/>
      <c r="L27" s="174"/>
      <c r="M27" s="165"/>
      <c r="N27" s="165"/>
      <c r="O27" s="174"/>
      <c r="P27" s="165"/>
      <c r="Q27" s="174"/>
      <c r="R27" s="165"/>
      <c r="S27" s="174"/>
      <c r="T27" s="165"/>
      <c r="U27" s="174"/>
      <c r="V27" s="165"/>
    </row>
    <row r="28" spans="1:22" s="176" customFormat="1" x14ac:dyDescent="0.3">
      <c r="A28" s="172"/>
      <c r="B28" s="172"/>
      <c r="C28" s="172"/>
      <c r="D28" s="175"/>
      <c r="E28" s="174"/>
      <c r="F28" s="165"/>
      <c r="G28" s="165"/>
      <c r="H28" s="165"/>
      <c r="J28" s="174"/>
      <c r="K28" s="165"/>
      <c r="L28" s="174"/>
      <c r="M28" s="165"/>
      <c r="N28" s="165"/>
      <c r="O28" s="174"/>
      <c r="P28" s="165"/>
      <c r="Q28" s="174"/>
      <c r="R28" s="165"/>
      <c r="S28" s="174"/>
      <c r="T28" s="165"/>
      <c r="U28" s="174"/>
      <c r="V28" s="165"/>
    </row>
    <row r="29" spans="1:22" s="176" customFormat="1" x14ac:dyDescent="0.3">
      <c r="A29" s="172"/>
      <c r="B29" s="172"/>
      <c r="C29" s="172"/>
      <c r="D29" s="175"/>
      <c r="E29" s="174"/>
      <c r="F29" s="165"/>
      <c r="G29" s="165"/>
      <c r="H29" s="165"/>
      <c r="J29" s="174"/>
      <c r="K29" s="165"/>
      <c r="L29" s="174"/>
      <c r="M29" s="165"/>
      <c r="N29" s="165"/>
      <c r="O29" s="174"/>
      <c r="P29" s="165"/>
      <c r="Q29" s="174"/>
      <c r="R29" s="165"/>
      <c r="S29" s="174"/>
      <c r="T29" s="165"/>
      <c r="U29" s="174"/>
      <c r="V29" s="165"/>
    </row>
    <row r="30" spans="1:22" s="176" customFormat="1" x14ac:dyDescent="0.3">
      <c r="A30" s="172"/>
      <c r="B30" s="172"/>
      <c r="C30" s="172"/>
      <c r="D30" s="175"/>
      <c r="E30" s="174"/>
      <c r="F30" s="165"/>
      <c r="G30" s="165"/>
      <c r="H30" s="165"/>
      <c r="J30" s="174"/>
      <c r="K30" s="165"/>
      <c r="L30" s="174"/>
      <c r="M30" s="165"/>
      <c r="N30" s="165"/>
      <c r="O30" s="174"/>
      <c r="P30" s="165"/>
      <c r="Q30" s="174"/>
      <c r="R30" s="165"/>
      <c r="S30" s="174"/>
      <c r="T30" s="165"/>
      <c r="U30" s="174"/>
      <c r="V30" s="165"/>
    </row>
    <row r="31" spans="1:22" s="176" customFormat="1" x14ac:dyDescent="0.3">
      <c r="A31" s="172"/>
      <c r="B31" s="172"/>
      <c r="C31" s="172"/>
      <c r="D31" s="175"/>
      <c r="E31" s="174"/>
      <c r="F31" s="165"/>
      <c r="G31" s="165"/>
      <c r="H31" s="165"/>
      <c r="J31" s="174"/>
      <c r="K31" s="165"/>
      <c r="L31" s="174"/>
      <c r="M31" s="165"/>
      <c r="N31" s="165"/>
      <c r="O31" s="174"/>
      <c r="P31" s="165"/>
      <c r="Q31" s="174"/>
      <c r="R31" s="165"/>
      <c r="S31" s="174"/>
      <c r="T31" s="165"/>
      <c r="U31" s="174"/>
      <c r="V31" s="165"/>
    </row>
    <row r="32" spans="1:22" s="176" customFormat="1" x14ac:dyDescent="0.3">
      <c r="A32" s="172"/>
      <c r="B32" s="172"/>
      <c r="C32" s="172"/>
      <c r="D32" s="175"/>
      <c r="E32" s="174"/>
      <c r="F32" s="165"/>
      <c r="G32" s="165"/>
      <c r="H32" s="165"/>
      <c r="J32" s="174"/>
      <c r="K32" s="165"/>
      <c r="L32" s="174"/>
      <c r="M32" s="165"/>
      <c r="N32" s="165"/>
      <c r="O32" s="174"/>
      <c r="P32" s="165"/>
      <c r="Q32" s="174"/>
      <c r="R32" s="165"/>
      <c r="S32" s="174"/>
      <c r="T32" s="165"/>
      <c r="U32" s="174"/>
      <c r="V32" s="165"/>
    </row>
    <row r="33" spans="1:22" s="176" customFormat="1" x14ac:dyDescent="0.3">
      <c r="A33" s="172"/>
      <c r="B33" s="172"/>
      <c r="C33" s="172"/>
      <c r="D33" s="175"/>
      <c r="E33" s="174"/>
      <c r="F33" s="165"/>
      <c r="G33" s="165"/>
      <c r="H33" s="165"/>
      <c r="J33" s="174"/>
      <c r="K33" s="165"/>
      <c r="L33" s="174"/>
      <c r="M33" s="165"/>
      <c r="N33" s="165"/>
      <c r="O33" s="174"/>
      <c r="P33" s="165"/>
      <c r="Q33" s="174"/>
      <c r="R33" s="165"/>
      <c r="S33" s="174"/>
      <c r="T33" s="165"/>
      <c r="U33" s="174"/>
      <c r="V33" s="165"/>
    </row>
    <row r="34" spans="1:22" s="176" customFormat="1" x14ac:dyDescent="0.3">
      <c r="A34" s="172"/>
      <c r="B34" s="172"/>
      <c r="C34" s="172"/>
      <c r="D34" s="175"/>
      <c r="E34" s="174"/>
      <c r="F34" s="165"/>
      <c r="G34" s="165"/>
      <c r="H34" s="165"/>
      <c r="J34" s="174"/>
      <c r="K34" s="165"/>
      <c r="L34" s="174"/>
      <c r="M34" s="165"/>
      <c r="N34" s="165"/>
      <c r="O34" s="174"/>
      <c r="P34" s="165"/>
      <c r="Q34" s="174"/>
      <c r="R34" s="165"/>
      <c r="S34" s="174"/>
      <c r="T34" s="165"/>
      <c r="U34" s="174"/>
      <c r="V34" s="165"/>
    </row>
    <row r="35" spans="1:22" s="176" customFormat="1" x14ac:dyDescent="0.3">
      <c r="A35" s="172"/>
      <c r="B35" s="172"/>
      <c r="C35" s="172"/>
      <c r="D35" s="175"/>
      <c r="E35" s="174"/>
      <c r="F35" s="165"/>
      <c r="G35" s="165"/>
      <c r="H35" s="165"/>
      <c r="J35" s="174"/>
      <c r="K35" s="165"/>
      <c r="L35" s="174"/>
      <c r="M35" s="165"/>
      <c r="N35" s="165"/>
      <c r="O35" s="174"/>
      <c r="P35" s="165"/>
      <c r="Q35" s="174"/>
      <c r="R35" s="165"/>
      <c r="S35" s="174"/>
      <c r="T35" s="165"/>
      <c r="U35" s="174"/>
      <c r="V35" s="165"/>
    </row>
    <row r="36" spans="1:22" s="176" customFormat="1" x14ac:dyDescent="0.3">
      <c r="A36" s="172"/>
      <c r="B36" s="172"/>
      <c r="C36" s="172"/>
      <c r="D36" s="175"/>
      <c r="E36" s="174"/>
      <c r="F36" s="165"/>
      <c r="G36" s="165"/>
      <c r="H36" s="165"/>
      <c r="J36" s="174"/>
      <c r="K36" s="165"/>
      <c r="L36" s="174"/>
      <c r="M36" s="165"/>
      <c r="N36" s="165"/>
      <c r="O36" s="174"/>
      <c r="P36" s="165"/>
      <c r="Q36" s="174"/>
      <c r="R36" s="165"/>
      <c r="S36" s="174"/>
      <c r="T36" s="165"/>
      <c r="U36" s="174"/>
      <c r="V36" s="165"/>
    </row>
    <row r="37" spans="1:22" s="176" customFormat="1" x14ac:dyDescent="0.3">
      <c r="A37" s="172"/>
      <c r="B37" s="172"/>
      <c r="C37" s="172"/>
      <c r="D37" s="175"/>
      <c r="E37" s="174"/>
      <c r="F37" s="165"/>
      <c r="G37" s="165"/>
      <c r="H37" s="165"/>
      <c r="J37" s="174"/>
      <c r="K37" s="165"/>
      <c r="L37" s="174"/>
      <c r="M37" s="165"/>
      <c r="N37" s="165"/>
      <c r="O37" s="174"/>
      <c r="P37" s="165"/>
      <c r="Q37" s="174"/>
      <c r="R37" s="165"/>
      <c r="S37" s="174"/>
      <c r="T37" s="165"/>
      <c r="U37" s="174"/>
      <c r="V37" s="165"/>
    </row>
    <row r="38" spans="1:22" s="176" customFormat="1" x14ac:dyDescent="0.3">
      <c r="A38" s="172"/>
      <c r="B38" s="172"/>
      <c r="C38" s="172"/>
      <c r="D38" s="175"/>
      <c r="E38" s="174"/>
      <c r="F38" s="165"/>
      <c r="G38" s="165"/>
      <c r="H38" s="165"/>
      <c r="J38" s="174"/>
      <c r="K38" s="165"/>
      <c r="L38" s="174"/>
      <c r="M38" s="165"/>
      <c r="N38" s="165"/>
      <c r="O38" s="174"/>
      <c r="P38" s="165"/>
      <c r="Q38" s="174"/>
      <c r="R38" s="165"/>
      <c r="S38" s="174"/>
      <c r="T38" s="165"/>
      <c r="U38" s="174"/>
      <c r="V38" s="165"/>
    </row>
    <row r="39" spans="1:22" s="176" customFormat="1" x14ac:dyDescent="0.3">
      <c r="A39" s="172"/>
      <c r="B39" s="172"/>
      <c r="C39" s="172"/>
      <c r="D39" s="175"/>
      <c r="E39" s="174"/>
      <c r="F39" s="165"/>
      <c r="G39" s="165"/>
      <c r="H39" s="165"/>
      <c r="J39" s="174"/>
      <c r="K39" s="165"/>
      <c r="L39" s="174"/>
      <c r="M39" s="165"/>
      <c r="N39" s="165"/>
      <c r="O39" s="174"/>
      <c r="P39" s="165"/>
      <c r="Q39" s="174"/>
      <c r="R39" s="165"/>
      <c r="S39" s="174"/>
      <c r="T39" s="165"/>
      <c r="U39" s="174"/>
      <c r="V39" s="165"/>
    </row>
    <row r="40" spans="1:22" s="176" customFormat="1" x14ac:dyDescent="0.3">
      <c r="A40" s="172"/>
      <c r="B40" s="172"/>
      <c r="C40" s="172"/>
      <c r="D40" s="175"/>
      <c r="E40" s="174"/>
      <c r="F40" s="165"/>
      <c r="G40" s="165"/>
      <c r="H40" s="165"/>
      <c r="J40" s="174"/>
      <c r="K40" s="165"/>
      <c r="L40" s="174"/>
      <c r="M40" s="165"/>
      <c r="N40" s="165"/>
      <c r="O40" s="174"/>
      <c r="P40" s="165"/>
      <c r="Q40" s="174"/>
      <c r="R40" s="165"/>
      <c r="S40" s="174"/>
      <c r="T40" s="165"/>
      <c r="U40" s="174"/>
      <c r="V40" s="165"/>
    </row>
    <row r="41" spans="1:22" s="176" customFormat="1" x14ac:dyDescent="0.3">
      <c r="A41" s="172"/>
      <c r="B41" s="172"/>
      <c r="C41" s="172"/>
      <c r="D41" s="175"/>
      <c r="E41" s="174"/>
      <c r="F41" s="165"/>
      <c r="G41" s="165"/>
      <c r="H41" s="165"/>
      <c r="J41" s="174"/>
      <c r="K41" s="165"/>
      <c r="L41" s="174"/>
      <c r="M41" s="165"/>
      <c r="N41" s="165"/>
      <c r="O41" s="174"/>
      <c r="P41" s="165"/>
      <c r="Q41" s="174"/>
      <c r="R41" s="165"/>
      <c r="S41" s="174"/>
      <c r="T41" s="165"/>
      <c r="U41" s="174"/>
      <c r="V41" s="165"/>
    </row>
    <row r="42" spans="1:22" s="176" customFormat="1" x14ac:dyDescent="0.3">
      <c r="A42" s="172"/>
      <c r="B42" s="172"/>
      <c r="C42" s="172"/>
      <c r="D42" s="175"/>
      <c r="E42" s="174"/>
      <c r="F42" s="165"/>
      <c r="G42" s="165"/>
      <c r="H42" s="165"/>
      <c r="J42" s="174"/>
      <c r="K42" s="165"/>
      <c r="L42" s="174"/>
      <c r="M42" s="165"/>
      <c r="N42" s="165"/>
      <c r="O42" s="174"/>
      <c r="P42" s="165"/>
      <c r="Q42" s="174"/>
      <c r="R42" s="165"/>
      <c r="S42" s="174"/>
      <c r="T42" s="165"/>
      <c r="U42" s="174"/>
      <c r="V42" s="165"/>
    </row>
    <row r="43" spans="1:22" s="176" customFormat="1" x14ac:dyDescent="0.3">
      <c r="A43" s="172"/>
      <c r="B43" s="172"/>
      <c r="C43" s="172"/>
      <c r="D43" s="175"/>
      <c r="E43" s="174"/>
      <c r="F43" s="165"/>
      <c r="G43" s="165"/>
      <c r="H43" s="165"/>
      <c r="J43" s="174"/>
      <c r="K43" s="165"/>
      <c r="L43" s="174"/>
      <c r="M43" s="165"/>
      <c r="N43" s="165"/>
      <c r="O43" s="174"/>
      <c r="P43" s="165"/>
      <c r="Q43" s="174"/>
      <c r="R43" s="165"/>
      <c r="S43" s="174"/>
      <c r="T43" s="165"/>
      <c r="U43" s="174"/>
      <c r="V43" s="165"/>
    </row>
    <row r="44" spans="1:22" s="176" customFormat="1" x14ac:dyDescent="0.3">
      <c r="A44" s="172"/>
      <c r="B44" s="172"/>
      <c r="C44" s="172"/>
      <c r="D44" s="175"/>
      <c r="E44" s="174"/>
      <c r="F44" s="165"/>
      <c r="G44" s="165"/>
      <c r="H44" s="165"/>
      <c r="J44" s="174"/>
      <c r="K44" s="165"/>
      <c r="L44" s="174"/>
      <c r="M44" s="165"/>
      <c r="N44" s="165"/>
      <c r="O44" s="174"/>
      <c r="P44" s="165"/>
      <c r="Q44" s="174"/>
      <c r="R44" s="165"/>
      <c r="S44" s="174"/>
      <c r="T44" s="165"/>
      <c r="U44" s="174"/>
      <c r="V44" s="165"/>
    </row>
    <row r="45" spans="1:22" s="176" customFormat="1" x14ac:dyDescent="0.3">
      <c r="A45" s="172"/>
      <c r="B45" s="172"/>
      <c r="C45" s="172"/>
      <c r="D45" s="175"/>
      <c r="E45" s="174"/>
      <c r="F45" s="165"/>
      <c r="G45" s="165"/>
      <c r="H45" s="165"/>
      <c r="J45" s="174"/>
      <c r="K45" s="165"/>
      <c r="L45" s="174"/>
      <c r="M45" s="165"/>
      <c r="N45" s="165"/>
      <c r="O45" s="174"/>
      <c r="P45" s="165"/>
      <c r="Q45" s="174"/>
      <c r="R45" s="165"/>
      <c r="S45" s="174"/>
      <c r="T45" s="165"/>
      <c r="U45" s="174"/>
      <c r="V45" s="165"/>
    </row>
    <row r="46" spans="1:22" s="176" customFormat="1" x14ac:dyDescent="0.3">
      <c r="A46" s="172"/>
      <c r="B46" s="172"/>
      <c r="C46" s="172"/>
      <c r="D46" s="175"/>
      <c r="E46" s="174"/>
      <c r="F46" s="165"/>
      <c r="G46" s="165"/>
      <c r="H46" s="165"/>
      <c r="J46" s="174"/>
      <c r="K46" s="165"/>
      <c r="L46" s="174"/>
      <c r="M46" s="165"/>
      <c r="N46" s="165"/>
      <c r="O46" s="174"/>
      <c r="P46" s="165"/>
      <c r="Q46" s="174"/>
      <c r="R46" s="165"/>
      <c r="S46" s="174"/>
      <c r="T46" s="165"/>
      <c r="U46" s="174"/>
      <c r="V46" s="165"/>
    </row>
    <row r="47" spans="1:22" s="176" customFormat="1" x14ac:dyDescent="0.3">
      <c r="A47" s="172"/>
      <c r="B47" s="172"/>
      <c r="C47" s="172"/>
      <c r="D47" s="175"/>
      <c r="E47" s="174"/>
      <c r="F47" s="165"/>
      <c r="G47" s="165"/>
      <c r="H47" s="165"/>
      <c r="J47" s="174"/>
      <c r="K47" s="165"/>
      <c r="L47" s="174"/>
      <c r="M47" s="165"/>
      <c r="N47" s="165"/>
      <c r="O47" s="174"/>
      <c r="P47" s="165"/>
      <c r="Q47" s="174"/>
      <c r="R47" s="165"/>
      <c r="S47" s="174"/>
      <c r="T47" s="165"/>
      <c r="U47" s="174"/>
      <c r="V47" s="165"/>
    </row>
    <row r="48" spans="1:22" s="176" customFormat="1" x14ac:dyDescent="0.3">
      <c r="A48" s="172"/>
      <c r="B48" s="172"/>
      <c r="C48" s="172"/>
      <c r="D48" s="175"/>
      <c r="E48" s="174"/>
      <c r="F48" s="165"/>
      <c r="G48" s="165"/>
      <c r="H48" s="165"/>
      <c r="J48" s="174"/>
      <c r="K48" s="165"/>
      <c r="L48" s="174"/>
      <c r="M48" s="165"/>
      <c r="N48" s="165"/>
      <c r="O48" s="174"/>
      <c r="P48" s="165"/>
      <c r="Q48" s="174"/>
      <c r="R48" s="165"/>
      <c r="S48" s="174"/>
      <c r="T48" s="165"/>
      <c r="U48" s="174"/>
      <c r="V48" s="165"/>
    </row>
    <row r="49" spans="1:22" s="176" customFormat="1" x14ac:dyDescent="0.3">
      <c r="A49" s="172"/>
      <c r="B49" s="172"/>
      <c r="C49" s="172"/>
      <c r="D49" s="175"/>
      <c r="E49" s="174"/>
      <c r="F49" s="165"/>
      <c r="G49" s="165"/>
      <c r="H49" s="165"/>
      <c r="J49" s="174"/>
      <c r="K49" s="165"/>
      <c r="L49" s="174"/>
      <c r="M49" s="165"/>
      <c r="N49" s="165"/>
      <c r="O49" s="174"/>
      <c r="P49" s="165"/>
      <c r="Q49" s="174"/>
      <c r="R49" s="165"/>
      <c r="S49" s="174"/>
      <c r="T49" s="165"/>
      <c r="U49" s="174"/>
      <c r="V49" s="165"/>
    </row>
    <row r="50" spans="1:22" s="176" customFormat="1" x14ac:dyDescent="0.3">
      <c r="A50" s="172"/>
      <c r="B50" s="172"/>
      <c r="C50" s="172"/>
      <c r="D50" s="175"/>
      <c r="E50" s="174"/>
      <c r="F50" s="165"/>
      <c r="G50" s="165"/>
      <c r="H50" s="165"/>
      <c r="J50" s="174"/>
      <c r="K50" s="165"/>
      <c r="L50" s="174"/>
      <c r="M50" s="165"/>
      <c r="N50" s="165"/>
      <c r="O50" s="174"/>
      <c r="P50" s="165"/>
      <c r="Q50" s="174"/>
      <c r="R50" s="165"/>
      <c r="S50" s="174"/>
      <c r="T50" s="165"/>
      <c r="U50" s="174"/>
      <c r="V50" s="165"/>
    </row>
    <row r="51" spans="1:22" s="176" customFormat="1" x14ac:dyDescent="0.3">
      <c r="A51" s="172"/>
      <c r="B51" s="172"/>
      <c r="C51" s="172"/>
      <c r="D51" s="175"/>
      <c r="E51" s="174"/>
      <c r="F51" s="165"/>
      <c r="G51" s="165"/>
      <c r="H51" s="165"/>
      <c r="J51" s="174"/>
      <c r="K51" s="165"/>
      <c r="L51" s="174"/>
      <c r="M51" s="165"/>
      <c r="N51" s="165"/>
      <c r="O51" s="174"/>
      <c r="P51" s="165"/>
      <c r="Q51" s="174"/>
      <c r="R51" s="165"/>
      <c r="S51" s="174"/>
      <c r="T51" s="165"/>
      <c r="U51" s="174"/>
      <c r="V51" s="165"/>
    </row>
    <row r="52" spans="1:22" s="176" customFormat="1" x14ac:dyDescent="0.3">
      <c r="A52" s="172"/>
      <c r="B52" s="172"/>
      <c r="C52" s="172"/>
      <c r="D52" s="175"/>
      <c r="E52" s="174"/>
      <c r="F52" s="165"/>
      <c r="G52" s="165"/>
      <c r="H52" s="165"/>
      <c r="J52" s="174"/>
      <c r="K52" s="165"/>
      <c r="L52" s="174"/>
      <c r="M52" s="165"/>
      <c r="N52" s="165"/>
      <c r="O52" s="174"/>
      <c r="P52" s="165"/>
      <c r="Q52" s="174"/>
      <c r="R52" s="165"/>
      <c r="S52" s="174"/>
      <c r="T52" s="165"/>
      <c r="U52" s="174"/>
      <c r="V52" s="165"/>
    </row>
    <row r="53" spans="1:22" s="176" customFormat="1" x14ac:dyDescent="0.3">
      <c r="A53" s="172"/>
      <c r="B53" s="172"/>
      <c r="C53" s="172"/>
      <c r="D53" s="175"/>
      <c r="E53" s="174"/>
      <c r="F53" s="165"/>
      <c r="G53" s="165"/>
      <c r="H53" s="165"/>
      <c r="J53" s="174"/>
      <c r="K53" s="165"/>
      <c r="L53" s="174"/>
      <c r="M53" s="165"/>
      <c r="N53" s="165"/>
      <c r="O53" s="174"/>
      <c r="P53" s="165"/>
      <c r="Q53" s="174"/>
      <c r="R53" s="165"/>
      <c r="S53" s="174"/>
      <c r="T53" s="165"/>
      <c r="U53" s="174"/>
      <c r="V53" s="165"/>
    </row>
    <row r="54" spans="1:22" s="176" customFormat="1" x14ac:dyDescent="0.3">
      <c r="A54" s="172"/>
      <c r="B54" s="172"/>
      <c r="C54" s="172"/>
      <c r="D54" s="175"/>
      <c r="E54" s="174"/>
      <c r="F54" s="165"/>
      <c r="G54" s="165"/>
      <c r="H54" s="165"/>
      <c r="J54" s="174"/>
      <c r="K54" s="165"/>
      <c r="L54" s="174"/>
      <c r="M54" s="165"/>
      <c r="N54" s="165"/>
      <c r="O54" s="174"/>
      <c r="P54" s="165"/>
      <c r="Q54" s="174"/>
      <c r="R54" s="165"/>
      <c r="S54" s="174"/>
      <c r="T54" s="165"/>
      <c r="U54" s="174"/>
      <c r="V54" s="165"/>
    </row>
    <row r="55" spans="1:22" s="176" customFormat="1" x14ac:dyDescent="0.3">
      <c r="A55" s="172"/>
      <c r="B55" s="172"/>
      <c r="C55" s="172"/>
      <c r="D55" s="175"/>
      <c r="E55" s="174"/>
      <c r="F55" s="165"/>
      <c r="G55" s="165"/>
      <c r="H55" s="165"/>
      <c r="J55" s="174"/>
      <c r="K55" s="165"/>
      <c r="L55" s="174"/>
      <c r="M55" s="165"/>
      <c r="N55" s="165"/>
      <c r="O55" s="174"/>
      <c r="P55" s="165"/>
      <c r="Q55" s="174"/>
      <c r="R55" s="165"/>
      <c r="S55" s="174"/>
      <c r="T55" s="165"/>
      <c r="U55" s="174"/>
      <c r="V55" s="165"/>
    </row>
    <row r="56" spans="1:22" s="176" customFormat="1" x14ac:dyDescent="0.3">
      <c r="A56" s="172"/>
      <c r="B56" s="172"/>
      <c r="C56" s="172"/>
      <c r="D56" s="175"/>
      <c r="E56" s="174"/>
      <c r="F56" s="165"/>
      <c r="G56" s="165"/>
      <c r="H56" s="165"/>
      <c r="J56" s="174"/>
      <c r="K56" s="165"/>
      <c r="L56" s="174"/>
      <c r="M56" s="165"/>
      <c r="N56" s="165"/>
      <c r="O56" s="174"/>
      <c r="P56" s="165"/>
      <c r="Q56" s="174"/>
      <c r="R56" s="165"/>
      <c r="S56" s="174"/>
      <c r="T56" s="165"/>
      <c r="U56" s="174"/>
      <c r="V56" s="165"/>
    </row>
    <row r="57" spans="1:22" s="176" customFormat="1" x14ac:dyDescent="0.3">
      <c r="A57" s="172"/>
      <c r="B57" s="172"/>
      <c r="C57" s="172"/>
      <c r="D57" s="175"/>
      <c r="E57" s="174"/>
      <c r="F57" s="165"/>
      <c r="G57" s="165"/>
      <c r="H57" s="165"/>
      <c r="J57" s="174"/>
      <c r="K57" s="165"/>
      <c r="L57" s="174"/>
      <c r="M57" s="165"/>
      <c r="N57" s="165"/>
      <c r="O57" s="174"/>
      <c r="P57" s="165"/>
      <c r="Q57" s="174"/>
      <c r="R57" s="165"/>
      <c r="S57" s="174"/>
      <c r="T57" s="165"/>
      <c r="U57" s="174"/>
      <c r="V57" s="165"/>
    </row>
    <row r="58" spans="1:22" s="176" customFormat="1" x14ac:dyDescent="0.3">
      <c r="A58" s="172"/>
      <c r="B58" s="172"/>
      <c r="C58" s="172"/>
      <c r="D58" s="175"/>
      <c r="E58" s="174"/>
      <c r="F58" s="165"/>
      <c r="G58" s="165"/>
      <c r="H58" s="165"/>
      <c r="J58" s="174"/>
      <c r="K58" s="165"/>
      <c r="L58" s="174"/>
      <c r="M58" s="165"/>
      <c r="N58" s="165"/>
      <c r="O58" s="174"/>
      <c r="P58" s="165"/>
      <c r="Q58" s="174"/>
      <c r="R58" s="165"/>
      <c r="S58" s="174"/>
      <c r="T58" s="165"/>
      <c r="U58" s="174"/>
      <c r="V58" s="165"/>
    </row>
    <row r="59" spans="1:22" s="176" customFormat="1" x14ac:dyDescent="0.3">
      <c r="A59" s="172"/>
      <c r="B59" s="172"/>
      <c r="C59" s="172"/>
      <c r="D59" s="175"/>
      <c r="E59" s="174"/>
      <c r="F59" s="165"/>
      <c r="G59" s="165"/>
      <c r="H59" s="165"/>
      <c r="J59" s="174"/>
      <c r="K59" s="165"/>
      <c r="L59" s="174"/>
      <c r="M59" s="165"/>
      <c r="N59" s="165"/>
      <c r="O59" s="174"/>
      <c r="P59" s="165"/>
      <c r="Q59" s="174"/>
      <c r="R59" s="165"/>
      <c r="S59" s="174"/>
      <c r="T59" s="165"/>
      <c r="U59" s="174"/>
      <c r="V59" s="165"/>
    </row>
    <row r="60" spans="1:22" s="176" customFormat="1" x14ac:dyDescent="0.3">
      <c r="A60" s="172"/>
      <c r="B60" s="172"/>
      <c r="C60" s="172"/>
      <c r="D60" s="175"/>
      <c r="E60" s="174"/>
      <c r="F60" s="165"/>
      <c r="G60" s="165"/>
      <c r="H60" s="165"/>
      <c r="J60" s="174"/>
      <c r="K60" s="165"/>
      <c r="L60" s="174"/>
      <c r="M60" s="165"/>
      <c r="N60" s="165"/>
      <c r="O60" s="174"/>
      <c r="P60" s="165"/>
      <c r="Q60" s="174"/>
      <c r="R60" s="165"/>
      <c r="S60" s="174"/>
      <c r="T60" s="165"/>
      <c r="U60" s="174"/>
      <c r="V60" s="165"/>
    </row>
    <row r="61" spans="1:22" s="176" customFormat="1" x14ac:dyDescent="0.3">
      <c r="A61" s="172"/>
      <c r="B61" s="172"/>
      <c r="C61" s="172"/>
      <c r="D61" s="175"/>
      <c r="E61" s="174"/>
      <c r="F61" s="165"/>
      <c r="G61" s="165"/>
      <c r="H61" s="165"/>
      <c r="J61" s="174"/>
      <c r="K61" s="165"/>
      <c r="L61" s="174"/>
      <c r="M61" s="165"/>
      <c r="N61" s="165"/>
      <c r="O61" s="174"/>
      <c r="P61" s="165"/>
      <c r="Q61" s="174"/>
      <c r="R61" s="165"/>
      <c r="S61" s="174"/>
      <c r="T61" s="165"/>
      <c r="U61" s="174"/>
      <c r="V61" s="165"/>
    </row>
    <row r="62" spans="1:22" s="176" customFormat="1" x14ac:dyDescent="0.3">
      <c r="A62" s="172"/>
      <c r="B62" s="172"/>
      <c r="C62" s="172"/>
      <c r="D62" s="175"/>
      <c r="E62" s="174"/>
      <c r="F62" s="165"/>
      <c r="G62" s="165"/>
      <c r="H62" s="165"/>
      <c r="J62" s="174"/>
      <c r="K62" s="165"/>
      <c r="L62" s="174"/>
      <c r="M62" s="165"/>
      <c r="N62" s="165"/>
      <c r="O62" s="174"/>
      <c r="P62" s="165"/>
      <c r="Q62" s="174"/>
      <c r="R62" s="165"/>
      <c r="S62" s="174"/>
      <c r="T62" s="165"/>
      <c r="U62" s="174"/>
      <c r="V62" s="165"/>
    </row>
    <row r="63" spans="1:22" s="176" customFormat="1" x14ac:dyDescent="0.3">
      <c r="A63" s="172"/>
      <c r="B63" s="172"/>
      <c r="C63" s="172"/>
      <c r="D63" s="175"/>
      <c r="E63" s="174"/>
      <c r="F63" s="165"/>
      <c r="G63" s="165"/>
      <c r="H63" s="165"/>
      <c r="J63" s="174"/>
      <c r="K63" s="165"/>
      <c r="L63" s="174"/>
      <c r="M63" s="165"/>
      <c r="N63" s="165"/>
      <c r="O63" s="174"/>
      <c r="P63" s="165"/>
      <c r="Q63" s="174"/>
      <c r="R63" s="165"/>
      <c r="S63" s="174"/>
      <c r="T63" s="165"/>
      <c r="U63" s="174"/>
      <c r="V63" s="165"/>
    </row>
    <row r="64" spans="1:22" s="176" customFormat="1" x14ac:dyDescent="0.3">
      <c r="A64" s="172"/>
      <c r="B64" s="172"/>
      <c r="C64" s="172"/>
      <c r="D64" s="175"/>
      <c r="E64" s="174"/>
      <c r="F64" s="165"/>
      <c r="G64" s="165"/>
      <c r="H64" s="165"/>
      <c r="J64" s="174"/>
      <c r="K64" s="165"/>
      <c r="L64" s="174"/>
      <c r="M64" s="165"/>
      <c r="N64" s="165"/>
      <c r="O64" s="174"/>
      <c r="P64" s="165"/>
      <c r="Q64" s="174"/>
      <c r="R64" s="165"/>
      <c r="S64" s="174"/>
      <c r="T64" s="165"/>
      <c r="U64" s="174"/>
      <c r="V64" s="165"/>
    </row>
    <row r="65" spans="1:22" s="176" customFormat="1" x14ac:dyDescent="0.3">
      <c r="A65" s="172"/>
      <c r="B65" s="172"/>
      <c r="C65" s="172"/>
      <c r="D65" s="175"/>
      <c r="E65" s="174"/>
      <c r="F65" s="165"/>
      <c r="G65" s="165"/>
      <c r="H65" s="165"/>
      <c r="J65" s="174"/>
      <c r="K65" s="165"/>
      <c r="L65" s="174"/>
      <c r="M65" s="165"/>
      <c r="N65" s="165"/>
      <c r="O65" s="174"/>
      <c r="P65" s="165"/>
      <c r="Q65" s="174"/>
      <c r="R65" s="165"/>
      <c r="S65" s="174"/>
      <c r="T65" s="165"/>
      <c r="U65" s="174"/>
      <c r="V65" s="165"/>
    </row>
    <row r="66" spans="1:22" s="176" customFormat="1" x14ac:dyDescent="0.3">
      <c r="A66" s="172"/>
      <c r="B66" s="172"/>
      <c r="C66" s="172"/>
      <c r="D66" s="175"/>
      <c r="E66" s="174"/>
      <c r="F66" s="165"/>
      <c r="G66" s="165"/>
      <c r="H66" s="165"/>
      <c r="J66" s="174"/>
      <c r="K66" s="165"/>
      <c r="L66" s="174"/>
      <c r="M66" s="165"/>
      <c r="N66" s="165"/>
      <c r="O66" s="174"/>
      <c r="P66" s="165"/>
      <c r="Q66" s="174"/>
      <c r="R66" s="165"/>
      <c r="S66" s="174"/>
      <c r="T66" s="165"/>
      <c r="U66" s="174"/>
      <c r="V66" s="165"/>
    </row>
    <row r="67" spans="1:22" s="176" customFormat="1" x14ac:dyDescent="0.3">
      <c r="A67" s="172"/>
      <c r="B67" s="172"/>
      <c r="C67" s="172"/>
      <c r="D67" s="175"/>
      <c r="E67" s="174"/>
      <c r="F67" s="165"/>
      <c r="G67" s="165"/>
      <c r="H67" s="165"/>
      <c r="J67" s="174"/>
      <c r="K67" s="165"/>
      <c r="L67" s="174"/>
      <c r="M67" s="165"/>
      <c r="N67" s="165"/>
      <c r="O67" s="174"/>
      <c r="P67" s="165"/>
      <c r="Q67" s="174"/>
      <c r="R67" s="165"/>
      <c r="S67" s="174"/>
      <c r="T67" s="165"/>
      <c r="U67" s="174"/>
      <c r="V67" s="165"/>
    </row>
    <row r="68" spans="1:22" s="176" customFormat="1" x14ac:dyDescent="0.3">
      <c r="A68" s="172"/>
      <c r="B68" s="172"/>
      <c r="C68" s="172"/>
      <c r="D68" s="175"/>
      <c r="E68" s="174"/>
      <c r="F68" s="165"/>
      <c r="G68" s="165"/>
      <c r="H68" s="165"/>
      <c r="J68" s="174"/>
      <c r="K68" s="165"/>
      <c r="L68" s="174"/>
      <c r="M68" s="165"/>
      <c r="N68" s="165"/>
      <c r="O68" s="174"/>
      <c r="P68" s="165"/>
      <c r="Q68" s="174"/>
      <c r="R68" s="165"/>
      <c r="S68" s="174"/>
      <c r="T68" s="165"/>
      <c r="U68" s="174"/>
      <c r="V68" s="165"/>
    </row>
    <row r="69" spans="1:22" s="176" customFormat="1" x14ac:dyDescent="0.3">
      <c r="A69" s="172"/>
      <c r="B69" s="172"/>
      <c r="C69" s="172"/>
      <c r="D69" s="175"/>
      <c r="E69" s="174"/>
      <c r="F69" s="165"/>
      <c r="G69" s="165"/>
      <c r="H69" s="165"/>
      <c r="J69" s="174"/>
      <c r="K69" s="165"/>
      <c r="L69" s="174"/>
      <c r="M69" s="165"/>
      <c r="N69" s="165"/>
      <c r="O69" s="174"/>
      <c r="P69" s="165"/>
      <c r="Q69" s="174"/>
      <c r="R69" s="165"/>
      <c r="S69" s="174"/>
      <c r="T69" s="165"/>
      <c r="U69" s="174"/>
      <c r="V69" s="165"/>
    </row>
    <row r="70" spans="1:22" s="176" customFormat="1" x14ac:dyDescent="0.3">
      <c r="A70" s="172"/>
      <c r="B70" s="172"/>
      <c r="C70" s="172"/>
      <c r="D70" s="175"/>
      <c r="E70" s="174"/>
      <c r="F70" s="165"/>
      <c r="G70" s="165"/>
      <c r="H70" s="165"/>
      <c r="J70" s="174"/>
      <c r="K70" s="165"/>
      <c r="L70" s="174"/>
      <c r="M70" s="165"/>
      <c r="N70" s="165"/>
      <c r="O70" s="174"/>
      <c r="P70" s="165"/>
      <c r="Q70" s="174"/>
      <c r="R70" s="165"/>
      <c r="S70" s="174"/>
      <c r="T70" s="165"/>
      <c r="U70" s="174"/>
      <c r="V70" s="165"/>
    </row>
    <row r="71" spans="1:22" s="176" customFormat="1" x14ac:dyDescent="0.3">
      <c r="A71" s="172"/>
      <c r="B71" s="172"/>
      <c r="C71" s="172"/>
      <c r="D71" s="175"/>
      <c r="E71" s="174"/>
      <c r="F71" s="165"/>
      <c r="G71" s="165"/>
      <c r="H71" s="165"/>
    </row>
    <row r="72" spans="1:22" s="176" customFormat="1" x14ac:dyDescent="0.3">
      <c r="A72" s="172"/>
      <c r="B72" s="172"/>
      <c r="C72" s="172"/>
      <c r="D72" s="175"/>
      <c r="E72" s="174"/>
      <c r="F72" s="165"/>
      <c r="G72" s="165"/>
      <c r="H72" s="165"/>
    </row>
    <row r="73" spans="1:22" s="176" customFormat="1" x14ac:dyDescent="0.3">
      <c r="A73" s="172"/>
      <c r="B73" s="172"/>
      <c r="C73" s="172"/>
      <c r="D73" s="175"/>
      <c r="E73" s="174"/>
      <c r="F73" s="165"/>
      <c r="G73" s="165"/>
      <c r="H73" s="165"/>
    </row>
    <row r="74" spans="1:22" s="176" customFormat="1" x14ac:dyDescent="0.3">
      <c r="A74" s="172"/>
      <c r="B74" s="172"/>
      <c r="C74" s="172"/>
      <c r="D74" s="175"/>
      <c r="E74" s="174"/>
      <c r="F74" s="165"/>
      <c r="G74" s="165"/>
      <c r="H74" s="165"/>
    </row>
    <row r="75" spans="1:22" s="176" customFormat="1" x14ac:dyDescent="0.3">
      <c r="A75" s="172"/>
      <c r="B75" s="172"/>
      <c r="C75" s="172"/>
      <c r="D75" s="175"/>
      <c r="E75" s="174"/>
      <c r="F75" s="165"/>
      <c r="G75" s="165"/>
      <c r="H75" s="165"/>
    </row>
    <row r="76" spans="1:22" s="176" customFormat="1" x14ac:dyDescent="0.3">
      <c r="A76" s="172"/>
      <c r="B76" s="172"/>
      <c r="C76" s="172"/>
      <c r="D76" s="175"/>
      <c r="E76" s="174"/>
      <c r="F76" s="165"/>
      <c r="G76" s="165"/>
      <c r="H76" s="165"/>
    </row>
    <row r="77" spans="1:22" s="176" customFormat="1" x14ac:dyDescent="0.3">
      <c r="A77" s="172"/>
      <c r="B77" s="172"/>
      <c r="C77" s="172"/>
      <c r="D77" s="175"/>
      <c r="E77" s="174"/>
      <c r="F77" s="165"/>
      <c r="G77" s="165"/>
      <c r="H77" s="165"/>
    </row>
    <row r="78" spans="1:22" s="176" customFormat="1" x14ac:dyDescent="0.3">
      <c r="A78" s="172"/>
      <c r="B78" s="172"/>
      <c r="C78" s="172"/>
      <c r="D78" s="175"/>
      <c r="E78" s="174"/>
      <c r="F78" s="165"/>
      <c r="G78" s="165"/>
      <c r="H78" s="165"/>
    </row>
    <row r="79" spans="1:22" s="176" customFormat="1" x14ac:dyDescent="0.3">
      <c r="A79" s="172"/>
      <c r="B79" s="172"/>
      <c r="C79" s="172"/>
      <c r="D79" s="175"/>
      <c r="E79" s="174"/>
      <c r="F79" s="165"/>
      <c r="G79" s="165"/>
      <c r="H79" s="165"/>
    </row>
    <row r="80" spans="1:22" s="176" customFormat="1" x14ac:dyDescent="0.3">
      <c r="A80" s="172"/>
      <c r="B80" s="172"/>
      <c r="C80" s="172"/>
      <c r="D80" s="175"/>
      <c r="E80" s="174"/>
      <c r="F80" s="165"/>
      <c r="G80" s="165"/>
      <c r="H80" s="165"/>
    </row>
    <row r="81" spans="1:8" s="176" customFormat="1" x14ac:dyDescent="0.3">
      <c r="A81" s="172"/>
      <c r="B81" s="172"/>
      <c r="C81" s="172"/>
      <c r="D81" s="175"/>
      <c r="E81" s="174"/>
      <c r="F81" s="165"/>
      <c r="G81" s="165"/>
      <c r="H81" s="165"/>
    </row>
    <row r="82" spans="1:8" s="176" customFormat="1" x14ac:dyDescent="0.3">
      <c r="A82" s="172"/>
      <c r="B82" s="172"/>
      <c r="C82" s="172"/>
      <c r="D82" s="175"/>
      <c r="E82" s="174"/>
      <c r="F82" s="165"/>
      <c r="G82" s="165"/>
      <c r="H82" s="165"/>
    </row>
    <row r="83" spans="1:8" s="176" customFormat="1" x14ac:dyDescent="0.3">
      <c r="A83" s="172"/>
      <c r="B83" s="172"/>
      <c r="C83" s="172"/>
      <c r="D83" s="175"/>
      <c r="E83" s="174"/>
      <c r="F83" s="165"/>
      <c r="G83" s="165"/>
      <c r="H83" s="165"/>
    </row>
    <row r="84" spans="1:8" s="176" customFormat="1" x14ac:dyDescent="0.3">
      <c r="A84" s="172"/>
      <c r="B84" s="172"/>
      <c r="C84" s="172"/>
      <c r="D84" s="175"/>
      <c r="E84" s="174"/>
      <c r="F84" s="165"/>
      <c r="G84" s="165"/>
      <c r="H84" s="165"/>
    </row>
    <row r="85" spans="1:8" s="176" customFormat="1" x14ac:dyDescent="0.3">
      <c r="A85" s="172"/>
      <c r="B85" s="172"/>
      <c r="C85" s="172"/>
      <c r="D85" s="175"/>
      <c r="E85" s="174"/>
      <c r="F85" s="165"/>
      <c r="G85" s="165"/>
      <c r="H85" s="165"/>
    </row>
    <row r="86" spans="1:8" s="176" customFormat="1" x14ac:dyDescent="0.3">
      <c r="A86" s="172"/>
      <c r="B86" s="172"/>
      <c r="C86" s="172"/>
      <c r="D86" s="175"/>
      <c r="E86" s="174"/>
      <c r="F86" s="165"/>
      <c r="G86" s="165"/>
      <c r="H86" s="165"/>
    </row>
    <row r="87" spans="1:8" s="176" customFormat="1" x14ac:dyDescent="0.3">
      <c r="A87" s="172"/>
      <c r="B87" s="172"/>
      <c r="C87" s="172"/>
      <c r="D87" s="175"/>
      <c r="E87" s="174"/>
      <c r="F87" s="165"/>
      <c r="G87" s="165"/>
      <c r="H87" s="165"/>
    </row>
    <row r="88" spans="1:8" s="176" customFormat="1" x14ac:dyDescent="0.3">
      <c r="A88" s="172"/>
      <c r="B88" s="172"/>
      <c r="C88" s="172"/>
      <c r="D88" s="175"/>
      <c r="E88" s="174"/>
      <c r="F88" s="165"/>
      <c r="G88" s="165"/>
      <c r="H88" s="165"/>
    </row>
    <row r="89" spans="1:8" s="176" customFormat="1" x14ac:dyDescent="0.3">
      <c r="A89" s="172"/>
      <c r="B89" s="172"/>
      <c r="C89" s="172"/>
      <c r="D89" s="175"/>
      <c r="E89" s="174"/>
      <c r="F89" s="165"/>
      <c r="G89" s="165"/>
      <c r="H89" s="165"/>
    </row>
    <row r="90" spans="1:8" s="176" customFormat="1" x14ac:dyDescent="0.3">
      <c r="A90" s="172"/>
      <c r="B90" s="172"/>
      <c r="C90" s="172"/>
      <c r="D90" s="175"/>
      <c r="E90" s="174"/>
      <c r="F90" s="165"/>
      <c r="G90" s="165"/>
      <c r="H90" s="165"/>
    </row>
    <row r="91" spans="1:8" s="176" customFormat="1" x14ac:dyDescent="0.3">
      <c r="A91" s="172"/>
      <c r="B91" s="172"/>
      <c r="C91" s="172"/>
      <c r="D91" s="175"/>
      <c r="E91" s="174"/>
      <c r="F91" s="165"/>
      <c r="G91" s="165"/>
      <c r="H91" s="165"/>
    </row>
    <row r="92" spans="1:8" s="176" customFormat="1" x14ac:dyDescent="0.3">
      <c r="A92" s="172"/>
      <c r="B92" s="172"/>
      <c r="C92" s="172"/>
      <c r="D92" s="175"/>
      <c r="E92" s="174"/>
      <c r="F92" s="165"/>
      <c r="G92" s="165"/>
      <c r="H92" s="165"/>
    </row>
    <row r="93" spans="1:8" s="176" customFormat="1" x14ac:dyDescent="0.3">
      <c r="A93" s="172"/>
      <c r="B93" s="172"/>
      <c r="C93" s="172"/>
      <c r="D93" s="175"/>
      <c r="E93" s="174"/>
      <c r="F93" s="165"/>
      <c r="G93" s="165"/>
      <c r="H93" s="165"/>
    </row>
    <row r="94" spans="1:8" s="176" customFormat="1" x14ac:dyDescent="0.3">
      <c r="A94" s="172"/>
      <c r="B94" s="172"/>
      <c r="C94" s="172"/>
      <c r="D94" s="175"/>
      <c r="E94" s="174"/>
      <c r="F94" s="165"/>
      <c r="G94" s="165"/>
      <c r="H94" s="165"/>
    </row>
    <row r="95" spans="1:8" s="176" customFormat="1" x14ac:dyDescent="0.3">
      <c r="A95" s="172"/>
      <c r="B95" s="172"/>
      <c r="C95" s="172"/>
      <c r="D95" s="175"/>
      <c r="E95" s="174"/>
      <c r="F95" s="165"/>
      <c r="G95" s="165"/>
      <c r="H95" s="165"/>
    </row>
    <row r="96" spans="1:8" s="176" customFormat="1" x14ac:dyDescent="0.3">
      <c r="A96" s="172"/>
      <c r="B96" s="172"/>
      <c r="C96" s="172"/>
      <c r="D96" s="175"/>
      <c r="E96" s="174"/>
      <c r="F96" s="165"/>
      <c r="G96" s="165"/>
      <c r="H96" s="165"/>
    </row>
    <row r="97" spans="1:8" s="176" customFormat="1" x14ac:dyDescent="0.3">
      <c r="A97" s="172"/>
      <c r="B97" s="172"/>
      <c r="C97" s="172"/>
      <c r="D97" s="175"/>
      <c r="E97" s="174"/>
      <c r="F97" s="165"/>
      <c r="G97" s="165"/>
      <c r="H97" s="165"/>
    </row>
    <row r="98" spans="1:8" s="176" customFormat="1" x14ac:dyDescent="0.3">
      <c r="A98" s="172"/>
      <c r="B98" s="172"/>
      <c r="C98" s="172"/>
      <c r="D98" s="175"/>
      <c r="E98" s="174"/>
      <c r="F98" s="165"/>
      <c r="G98" s="165"/>
      <c r="H98" s="165"/>
    </row>
    <row r="99" spans="1:8" s="176" customFormat="1" x14ac:dyDescent="0.3">
      <c r="A99" s="172"/>
      <c r="B99" s="172"/>
      <c r="C99" s="172"/>
      <c r="D99" s="175"/>
      <c r="E99" s="174"/>
      <c r="F99" s="165"/>
      <c r="G99" s="165"/>
      <c r="H99" s="165"/>
    </row>
    <row r="100" spans="1:8" s="176" customFormat="1" x14ac:dyDescent="0.3">
      <c r="A100" s="172"/>
      <c r="B100" s="172"/>
      <c r="C100" s="172"/>
      <c r="D100" s="175"/>
      <c r="E100" s="174"/>
      <c r="F100" s="165"/>
      <c r="G100" s="165"/>
      <c r="H100" s="165"/>
    </row>
    <row r="101" spans="1:8" s="176" customFormat="1" x14ac:dyDescent="0.3">
      <c r="A101" s="172"/>
      <c r="B101" s="172"/>
      <c r="C101" s="172"/>
      <c r="D101" s="175"/>
      <c r="E101" s="174"/>
      <c r="F101" s="165"/>
      <c r="G101" s="165"/>
      <c r="H101" s="165"/>
    </row>
    <row r="102" spans="1:8" s="176" customFormat="1" x14ac:dyDescent="0.3">
      <c r="A102" s="172"/>
      <c r="B102" s="172"/>
      <c r="C102" s="172"/>
      <c r="D102" s="175"/>
      <c r="E102" s="174"/>
      <c r="F102" s="165"/>
      <c r="G102" s="165"/>
      <c r="H102" s="165"/>
    </row>
    <row r="103" spans="1:8" s="176" customFormat="1" x14ac:dyDescent="0.3">
      <c r="A103" s="172"/>
      <c r="B103" s="172"/>
      <c r="C103" s="172"/>
      <c r="D103" s="175"/>
      <c r="E103" s="174"/>
      <c r="F103" s="165"/>
      <c r="G103" s="165"/>
      <c r="H103" s="165"/>
    </row>
    <row r="104" spans="1:8" s="176" customFormat="1" x14ac:dyDescent="0.3">
      <c r="A104" s="172"/>
      <c r="B104" s="172"/>
      <c r="C104" s="172"/>
      <c r="D104" s="175"/>
      <c r="E104" s="174"/>
      <c r="F104" s="165"/>
      <c r="G104" s="165"/>
      <c r="H104" s="165"/>
    </row>
    <row r="105" spans="1:8" s="176" customFormat="1" x14ac:dyDescent="0.3">
      <c r="A105" s="172"/>
      <c r="B105" s="172"/>
      <c r="C105" s="172"/>
      <c r="D105" s="175"/>
      <c r="E105" s="174"/>
      <c r="F105" s="165"/>
      <c r="G105" s="165"/>
      <c r="H105" s="165"/>
    </row>
    <row r="106" spans="1:8" s="176" customFormat="1" x14ac:dyDescent="0.3">
      <c r="A106" s="172"/>
      <c r="B106" s="172"/>
      <c r="C106" s="172"/>
      <c r="D106" s="175"/>
      <c r="E106" s="174"/>
      <c r="F106" s="165"/>
      <c r="G106" s="165"/>
      <c r="H106" s="165"/>
    </row>
    <row r="107" spans="1:8" s="176" customFormat="1" x14ac:dyDescent="0.3">
      <c r="A107" s="172"/>
      <c r="B107" s="172"/>
      <c r="C107" s="172"/>
      <c r="D107" s="175"/>
      <c r="E107" s="174"/>
      <c r="F107" s="165"/>
      <c r="G107" s="165"/>
      <c r="H107" s="165"/>
    </row>
    <row r="108" spans="1:8" s="176" customFormat="1" x14ac:dyDescent="0.3">
      <c r="A108" s="172"/>
      <c r="B108" s="172"/>
      <c r="C108" s="172"/>
      <c r="D108" s="175"/>
      <c r="E108" s="174"/>
      <c r="F108" s="165"/>
      <c r="G108" s="165"/>
      <c r="H108" s="165"/>
    </row>
    <row r="109" spans="1:8" s="176" customFormat="1" x14ac:dyDescent="0.3">
      <c r="A109" s="172"/>
      <c r="B109" s="172"/>
      <c r="C109" s="172"/>
      <c r="D109" s="175"/>
      <c r="E109" s="174"/>
      <c r="F109" s="165"/>
      <c r="G109" s="165"/>
      <c r="H109" s="165"/>
    </row>
    <row r="110" spans="1:8" s="176" customFormat="1" x14ac:dyDescent="0.3">
      <c r="A110" s="172"/>
      <c r="B110" s="172"/>
      <c r="C110" s="172"/>
      <c r="D110" s="175"/>
      <c r="E110" s="174"/>
      <c r="F110" s="165"/>
      <c r="G110" s="165"/>
      <c r="H110" s="165"/>
    </row>
    <row r="111" spans="1:8" s="176" customFormat="1" x14ac:dyDescent="0.3">
      <c r="A111" s="172"/>
      <c r="B111" s="172"/>
      <c r="C111" s="172"/>
      <c r="D111" s="175"/>
      <c r="E111" s="174"/>
      <c r="F111" s="165"/>
      <c r="G111" s="165"/>
      <c r="H111" s="165"/>
    </row>
    <row r="112" spans="1:8" s="176" customFormat="1" x14ac:dyDescent="0.3">
      <c r="A112" s="172"/>
      <c r="B112" s="172"/>
      <c r="C112" s="172"/>
      <c r="D112" s="175"/>
      <c r="E112" s="174"/>
      <c r="F112" s="165"/>
      <c r="G112" s="165"/>
      <c r="H112" s="165"/>
    </row>
    <row r="113" spans="1:8" s="176" customFormat="1" x14ac:dyDescent="0.3">
      <c r="A113" s="172"/>
      <c r="B113" s="172"/>
      <c r="C113" s="172"/>
      <c r="D113" s="175"/>
      <c r="E113" s="174"/>
      <c r="F113" s="165"/>
      <c r="G113" s="165"/>
      <c r="H113" s="165"/>
    </row>
    <row r="114" spans="1:8" s="176" customFormat="1" x14ac:dyDescent="0.3">
      <c r="A114" s="172"/>
      <c r="B114" s="172"/>
      <c r="C114" s="172"/>
      <c r="D114" s="175"/>
      <c r="E114" s="174"/>
      <c r="F114" s="165"/>
      <c r="G114" s="165"/>
      <c r="H114" s="165"/>
    </row>
    <row r="115" spans="1:8" s="176" customFormat="1" x14ac:dyDescent="0.3">
      <c r="A115" s="172"/>
      <c r="B115" s="172"/>
      <c r="C115" s="172"/>
      <c r="D115" s="175"/>
      <c r="E115" s="174"/>
      <c r="F115" s="165"/>
      <c r="G115" s="165"/>
      <c r="H115" s="165"/>
    </row>
    <row r="116" spans="1:8" s="176" customFormat="1" x14ac:dyDescent="0.3">
      <c r="A116" s="172"/>
      <c r="B116" s="172"/>
      <c r="C116" s="172"/>
      <c r="D116" s="175"/>
      <c r="E116" s="174"/>
      <c r="F116" s="165"/>
      <c r="G116" s="165"/>
      <c r="H116" s="165"/>
    </row>
    <row r="117" spans="1:8" s="176" customFormat="1" x14ac:dyDescent="0.3">
      <c r="A117" s="172"/>
      <c r="B117" s="172"/>
      <c r="C117" s="172"/>
      <c r="D117" s="175"/>
      <c r="E117" s="174"/>
      <c r="F117" s="165"/>
      <c r="G117" s="165"/>
      <c r="H117" s="165"/>
    </row>
    <row r="118" spans="1:8" s="176" customFormat="1" x14ac:dyDescent="0.3">
      <c r="A118" s="172"/>
      <c r="B118" s="172"/>
      <c r="C118" s="172"/>
      <c r="D118" s="175"/>
      <c r="E118" s="174"/>
      <c r="F118" s="165"/>
      <c r="G118" s="165"/>
      <c r="H118" s="165"/>
    </row>
    <row r="119" spans="1:8" s="176" customFormat="1" x14ac:dyDescent="0.3">
      <c r="A119" s="172"/>
      <c r="B119" s="172"/>
      <c r="C119" s="172"/>
      <c r="D119" s="175"/>
      <c r="E119" s="174"/>
      <c r="F119" s="165"/>
      <c r="G119" s="165"/>
      <c r="H119" s="165"/>
    </row>
    <row r="120" spans="1:8" s="176" customFormat="1" x14ac:dyDescent="0.3">
      <c r="A120" s="172"/>
      <c r="B120" s="172"/>
      <c r="C120" s="172"/>
      <c r="D120" s="175"/>
      <c r="E120" s="174"/>
      <c r="F120" s="165"/>
      <c r="G120" s="165"/>
      <c r="H120" s="165"/>
    </row>
    <row r="121" spans="1:8" s="176" customFormat="1" x14ac:dyDescent="0.3">
      <c r="A121" s="172"/>
      <c r="B121" s="172"/>
      <c r="C121" s="172"/>
      <c r="D121" s="175"/>
      <c r="E121" s="174"/>
      <c r="F121" s="165"/>
      <c r="G121" s="165"/>
      <c r="H121" s="165"/>
    </row>
    <row r="122" spans="1:8" s="176" customFormat="1" x14ac:dyDescent="0.3">
      <c r="A122" s="172"/>
      <c r="B122" s="172"/>
      <c r="C122" s="172"/>
      <c r="D122" s="175"/>
      <c r="E122" s="174"/>
      <c r="F122" s="165"/>
      <c r="G122" s="165"/>
      <c r="H122" s="165"/>
    </row>
    <row r="123" spans="1:8" s="176" customFormat="1" x14ac:dyDescent="0.3">
      <c r="A123" s="172"/>
      <c r="B123" s="172"/>
      <c r="C123" s="172"/>
      <c r="D123" s="175"/>
      <c r="E123" s="174"/>
      <c r="F123" s="165"/>
      <c r="G123" s="165"/>
      <c r="H123" s="165"/>
    </row>
    <row r="124" spans="1:8" s="176" customFormat="1" x14ac:dyDescent="0.3">
      <c r="A124" s="172"/>
      <c r="B124" s="172"/>
      <c r="C124" s="172"/>
      <c r="D124" s="175"/>
      <c r="E124" s="174"/>
      <c r="F124" s="165"/>
      <c r="G124" s="165"/>
      <c r="H124" s="165"/>
    </row>
    <row r="125" spans="1:8" s="176" customFormat="1" x14ac:dyDescent="0.3">
      <c r="A125" s="172"/>
      <c r="B125" s="172"/>
      <c r="C125" s="172"/>
      <c r="D125" s="175"/>
      <c r="E125" s="174"/>
      <c r="F125" s="165"/>
      <c r="G125" s="165"/>
      <c r="H125" s="165"/>
    </row>
    <row r="126" spans="1:8" s="176" customFormat="1" x14ac:dyDescent="0.3">
      <c r="A126" s="172"/>
      <c r="B126" s="172"/>
      <c r="C126" s="172"/>
      <c r="D126" s="175"/>
      <c r="E126" s="174"/>
      <c r="F126" s="165"/>
      <c r="G126" s="165"/>
      <c r="H126" s="165"/>
    </row>
    <row r="127" spans="1:8" s="176" customFormat="1" x14ac:dyDescent="0.3">
      <c r="A127" s="172"/>
      <c r="B127" s="172"/>
      <c r="C127" s="172"/>
      <c r="D127" s="175"/>
      <c r="E127" s="174"/>
      <c r="F127" s="165"/>
      <c r="G127" s="165"/>
      <c r="H127" s="165"/>
    </row>
    <row r="128" spans="1:8" s="176" customFormat="1" x14ac:dyDescent="0.3">
      <c r="A128" s="172"/>
      <c r="B128" s="172"/>
      <c r="C128" s="172"/>
      <c r="D128" s="175"/>
      <c r="E128" s="174"/>
      <c r="F128" s="165"/>
      <c r="G128" s="165"/>
      <c r="H128" s="165"/>
    </row>
    <row r="129" spans="1:8" s="176" customFormat="1" x14ac:dyDescent="0.3">
      <c r="A129" s="172"/>
      <c r="B129" s="172"/>
      <c r="C129" s="172"/>
      <c r="D129" s="175"/>
      <c r="E129" s="174"/>
      <c r="F129" s="165"/>
      <c r="G129" s="165"/>
      <c r="H129" s="165"/>
    </row>
    <row r="130" spans="1:8" s="176" customFormat="1" x14ac:dyDescent="0.3">
      <c r="A130" s="172"/>
      <c r="B130" s="172"/>
      <c r="C130" s="172"/>
      <c r="D130" s="175"/>
      <c r="E130" s="174"/>
      <c r="F130" s="165"/>
      <c r="G130" s="165"/>
      <c r="H130" s="165"/>
    </row>
    <row r="131" spans="1:8" s="176" customFormat="1" x14ac:dyDescent="0.3">
      <c r="A131" s="172"/>
      <c r="B131" s="172"/>
      <c r="C131" s="172"/>
      <c r="D131" s="175"/>
      <c r="E131" s="174"/>
      <c r="F131" s="165"/>
      <c r="G131" s="165"/>
      <c r="H131" s="165"/>
    </row>
    <row r="132" spans="1:8" s="176" customFormat="1" x14ac:dyDescent="0.3">
      <c r="A132" s="172"/>
      <c r="B132" s="172"/>
      <c r="C132" s="172"/>
      <c r="D132" s="175"/>
      <c r="E132" s="174"/>
      <c r="F132" s="165"/>
      <c r="G132" s="165"/>
      <c r="H132" s="165"/>
    </row>
    <row r="133" spans="1:8" s="176" customFormat="1" x14ac:dyDescent="0.3">
      <c r="A133" s="172"/>
      <c r="B133" s="172"/>
      <c r="C133" s="172"/>
      <c r="D133" s="175"/>
      <c r="E133" s="174"/>
      <c r="F133" s="165"/>
      <c r="G133" s="165"/>
      <c r="H133" s="165"/>
    </row>
    <row r="134" spans="1:8" s="176" customFormat="1" x14ac:dyDescent="0.3">
      <c r="A134" s="172"/>
      <c r="B134" s="172"/>
      <c r="C134" s="172"/>
      <c r="D134" s="175"/>
      <c r="E134" s="174"/>
      <c r="F134" s="165"/>
      <c r="G134" s="165"/>
      <c r="H134" s="165"/>
    </row>
    <row r="135" spans="1:8" s="176" customFormat="1" x14ac:dyDescent="0.3">
      <c r="A135" s="172"/>
      <c r="B135" s="172"/>
      <c r="C135" s="172"/>
      <c r="D135" s="175"/>
      <c r="E135" s="174"/>
      <c r="F135" s="165"/>
      <c r="G135" s="165"/>
      <c r="H135" s="165"/>
    </row>
    <row r="136" spans="1:8" s="176" customFormat="1" x14ac:dyDescent="0.3">
      <c r="A136" s="172"/>
      <c r="B136" s="172"/>
      <c r="C136" s="172"/>
      <c r="D136" s="175"/>
      <c r="E136" s="174"/>
      <c r="F136" s="165"/>
      <c r="G136" s="165"/>
      <c r="H136" s="165"/>
    </row>
    <row r="137" spans="1:8" s="176" customFormat="1" x14ac:dyDescent="0.3">
      <c r="A137" s="172"/>
      <c r="B137" s="172"/>
      <c r="C137" s="172"/>
      <c r="D137" s="175"/>
      <c r="E137" s="174"/>
      <c r="F137" s="165"/>
      <c r="G137" s="165"/>
      <c r="H137" s="165"/>
    </row>
    <row r="138" spans="1:8" s="176" customFormat="1" x14ac:dyDescent="0.3">
      <c r="A138" s="172"/>
      <c r="B138" s="172"/>
      <c r="C138" s="172"/>
      <c r="D138" s="175"/>
      <c r="E138" s="174"/>
      <c r="F138" s="165"/>
      <c r="G138" s="165"/>
      <c r="H138" s="165"/>
    </row>
    <row r="139" spans="1:8" s="176" customFormat="1" x14ac:dyDescent="0.3">
      <c r="A139" s="172"/>
      <c r="B139" s="172"/>
      <c r="C139" s="172"/>
      <c r="D139" s="175"/>
      <c r="E139" s="174"/>
      <c r="F139" s="165"/>
      <c r="G139" s="165"/>
      <c r="H139" s="165"/>
    </row>
    <row r="140" spans="1:8" s="176" customFormat="1" x14ac:dyDescent="0.3">
      <c r="A140" s="172"/>
      <c r="B140" s="172"/>
      <c r="C140" s="172"/>
      <c r="D140" s="175"/>
      <c r="E140" s="174"/>
      <c r="F140" s="165"/>
      <c r="G140" s="165"/>
      <c r="H140" s="165"/>
    </row>
    <row r="141" spans="1:8" s="176" customFormat="1" x14ac:dyDescent="0.3">
      <c r="A141" s="172"/>
      <c r="B141" s="172"/>
      <c r="C141" s="172"/>
      <c r="D141" s="175"/>
      <c r="E141" s="174"/>
      <c r="F141" s="165"/>
      <c r="G141" s="165"/>
      <c r="H141" s="165"/>
    </row>
    <row r="142" spans="1:8" s="176" customFormat="1" x14ac:dyDescent="0.3">
      <c r="A142" s="172"/>
      <c r="B142" s="172"/>
      <c r="C142" s="172"/>
      <c r="D142" s="175"/>
      <c r="E142" s="174"/>
      <c r="F142" s="165"/>
      <c r="G142" s="165"/>
      <c r="H142" s="165"/>
    </row>
    <row r="143" spans="1:8" s="176" customFormat="1" x14ac:dyDescent="0.3">
      <c r="A143" s="172"/>
      <c r="B143" s="172"/>
      <c r="C143" s="172"/>
      <c r="D143" s="175"/>
      <c r="E143" s="174"/>
      <c r="F143" s="165"/>
      <c r="G143" s="165"/>
      <c r="H143" s="165"/>
    </row>
    <row r="144" spans="1:8" s="176" customFormat="1" x14ac:dyDescent="0.3">
      <c r="A144" s="172"/>
      <c r="B144" s="172"/>
      <c r="C144" s="172"/>
      <c r="D144" s="175"/>
      <c r="E144" s="174"/>
      <c r="F144" s="165"/>
      <c r="G144" s="165"/>
      <c r="H144" s="165"/>
    </row>
    <row r="145" spans="1:8" s="176" customFormat="1" x14ac:dyDescent="0.3">
      <c r="A145" s="172"/>
      <c r="B145" s="172"/>
      <c r="C145" s="172"/>
      <c r="D145" s="175"/>
      <c r="E145" s="174"/>
      <c r="F145" s="165"/>
      <c r="G145" s="165"/>
      <c r="H145" s="165"/>
    </row>
    <row r="146" spans="1:8" s="176" customFormat="1" x14ac:dyDescent="0.3">
      <c r="A146" s="172"/>
      <c r="B146" s="172"/>
      <c r="C146" s="172"/>
      <c r="D146" s="175"/>
      <c r="E146" s="174"/>
      <c r="F146" s="165"/>
      <c r="G146" s="165"/>
      <c r="H146" s="165"/>
    </row>
    <row r="147" spans="1:8" s="176" customFormat="1" x14ac:dyDescent="0.3">
      <c r="A147" s="172"/>
      <c r="B147" s="172"/>
      <c r="C147" s="172"/>
      <c r="D147" s="175"/>
      <c r="E147" s="174"/>
      <c r="F147" s="165"/>
      <c r="G147" s="165"/>
      <c r="H147" s="165"/>
    </row>
    <row r="148" spans="1:8" s="176" customFormat="1" x14ac:dyDescent="0.3">
      <c r="A148" s="172"/>
      <c r="B148" s="172"/>
      <c r="C148" s="172"/>
      <c r="D148" s="175"/>
      <c r="E148" s="174"/>
      <c r="F148" s="165"/>
      <c r="G148" s="165"/>
      <c r="H148" s="165"/>
    </row>
    <row r="149" spans="1:8" s="176" customFormat="1" x14ac:dyDescent="0.3">
      <c r="A149" s="172"/>
      <c r="B149" s="172"/>
      <c r="C149" s="172"/>
      <c r="D149" s="175"/>
      <c r="E149" s="174"/>
      <c r="F149" s="165"/>
      <c r="G149" s="165"/>
      <c r="H149" s="165"/>
    </row>
    <row r="150" spans="1:8" s="176" customFormat="1" x14ac:dyDescent="0.3">
      <c r="A150" s="172"/>
      <c r="B150" s="172"/>
      <c r="C150" s="172"/>
      <c r="D150" s="175"/>
      <c r="E150" s="174"/>
      <c r="F150" s="165"/>
      <c r="G150" s="165"/>
      <c r="H150" s="165"/>
    </row>
    <row r="151" spans="1:8" s="176" customFormat="1" x14ac:dyDescent="0.3">
      <c r="A151" s="172"/>
      <c r="B151" s="172"/>
      <c r="C151" s="172"/>
      <c r="D151" s="175"/>
      <c r="E151" s="174"/>
      <c r="F151" s="165"/>
      <c r="G151" s="165"/>
      <c r="H151" s="165"/>
    </row>
    <row r="152" spans="1:8" s="176" customFormat="1" x14ac:dyDescent="0.3">
      <c r="A152" s="172"/>
      <c r="B152" s="172"/>
      <c r="C152" s="172"/>
      <c r="D152" s="175"/>
      <c r="E152" s="174"/>
      <c r="F152" s="165"/>
      <c r="G152" s="165"/>
      <c r="H152" s="165"/>
    </row>
    <row r="153" spans="1:8" s="176" customFormat="1" x14ac:dyDescent="0.3">
      <c r="A153" s="172"/>
      <c r="B153" s="172"/>
      <c r="C153" s="172"/>
      <c r="D153" s="175"/>
      <c r="E153" s="174"/>
      <c r="F153" s="165"/>
      <c r="G153" s="165"/>
      <c r="H153" s="165"/>
    </row>
    <row r="154" spans="1:8" s="176" customFormat="1" x14ac:dyDescent="0.3">
      <c r="A154" s="172"/>
      <c r="B154" s="172"/>
      <c r="C154" s="172"/>
      <c r="D154" s="175"/>
      <c r="E154" s="174"/>
      <c r="F154" s="165"/>
      <c r="G154" s="165"/>
      <c r="H154" s="165"/>
    </row>
    <row r="155" spans="1:8" s="176" customFormat="1" x14ac:dyDescent="0.3">
      <c r="A155" s="172"/>
      <c r="B155" s="172"/>
      <c r="C155" s="172"/>
      <c r="D155" s="175"/>
      <c r="E155" s="174"/>
      <c r="F155" s="165"/>
      <c r="G155" s="165"/>
      <c r="H155" s="165"/>
    </row>
    <row r="156" spans="1:8" s="176" customFormat="1" x14ac:dyDescent="0.3">
      <c r="A156" s="172"/>
      <c r="B156" s="172"/>
      <c r="C156" s="172"/>
      <c r="D156" s="175"/>
      <c r="E156" s="174"/>
      <c r="F156" s="165"/>
      <c r="G156" s="165"/>
      <c r="H156" s="165"/>
    </row>
    <row r="157" spans="1:8" s="176" customFormat="1" x14ac:dyDescent="0.3">
      <c r="A157" s="172"/>
      <c r="B157" s="172"/>
      <c r="C157" s="172"/>
      <c r="D157" s="175"/>
      <c r="E157" s="174"/>
      <c r="F157" s="165"/>
      <c r="G157" s="165"/>
      <c r="H157" s="165"/>
    </row>
    <row r="158" spans="1:8" x14ac:dyDescent="0.3">
      <c r="D158" s="123"/>
      <c r="E158" s="15"/>
    </row>
    <row r="159" spans="1:8" x14ac:dyDescent="0.3">
      <c r="D159" s="123"/>
      <c r="E159" s="15"/>
    </row>
    <row r="160" spans="1:8" x14ac:dyDescent="0.3">
      <c r="D160" s="123"/>
      <c r="E160" s="15"/>
    </row>
    <row r="161" spans="4:5" x14ac:dyDescent="0.3">
      <c r="D161" s="123"/>
      <c r="E161" s="15"/>
    </row>
    <row r="162" spans="4:5" x14ac:dyDescent="0.3">
      <c r="D162" s="123"/>
      <c r="E162" s="15"/>
    </row>
    <row r="163" spans="4:5" x14ac:dyDescent="0.3">
      <c r="D163" s="123"/>
      <c r="E163" s="15"/>
    </row>
    <row r="164" spans="4:5" x14ac:dyDescent="0.3">
      <c r="D164" s="123"/>
      <c r="E164" s="15"/>
    </row>
    <row r="165" spans="4:5" x14ac:dyDescent="0.3">
      <c r="D165" s="123"/>
      <c r="E165" s="15"/>
    </row>
    <row r="166" spans="4:5" x14ac:dyDescent="0.3">
      <c r="D166" s="123"/>
      <c r="E166" s="15"/>
    </row>
    <row r="167" spans="4:5" x14ac:dyDescent="0.3">
      <c r="D167" s="123"/>
      <c r="E167" s="15"/>
    </row>
    <row r="168" spans="4:5" x14ac:dyDescent="0.3">
      <c r="D168" s="123"/>
      <c r="E168" s="15"/>
    </row>
    <row r="169" spans="4:5" x14ac:dyDescent="0.3">
      <c r="D169" s="123"/>
      <c r="E169" s="15"/>
    </row>
    <row r="170" spans="4:5" x14ac:dyDescent="0.3">
      <c r="D170" s="123"/>
      <c r="E170" s="15"/>
    </row>
    <row r="171" spans="4:5" x14ac:dyDescent="0.3">
      <c r="D171" s="123"/>
      <c r="E171" s="15"/>
    </row>
    <row r="172" spans="4:5" x14ac:dyDescent="0.3">
      <c r="D172" s="123"/>
      <c r="E172" s="15"/>
    </row>
    <row r="173" spans="4:5" x14ac:dyDescent="0.3">
      <c r="D173" s="123"/>
      <c r="E173" s="15"/>
    </row>
    <row r="174" spans="4:5" x14ac:dyDescent="0.3">
      <c r="D174" s="123"/>
      <c r="E174" s="15"/>
    </row>
    <row r="175" spans="4:5" x14ac:dyDescent="0.3">
      <c r="D175" s="123"/>
      <c r="E175" s="15"/>
    </row>
    <row r="176" spans="4:5" x14ac:dyDescent="0.3">
      <c r="D176" s="123"/>
      <c r="E176" s="15"/>
    </row>
    <row r="177" spans="4:5" x14ac:dyDescent="0.3">
      <c r="D177" s="123"/>
      <c r="E177" s="15"/>
    </row>
    <row r="178" spans="4:5" x14ac:dyDescent="0.3">
      <c r="D178" s="123"/>
      <c r="E178" s="15"/>
    </row>
    <row r="179" spans="4:5" x14ac:dyDescent="0.3">
      <c r="D179" s="123"/>
      <c r="E179" s="15"/>
    </row>
    <row r="180" spans="4:5" x14ac:dyDescent="0.3">
      <c r="D180" s="123"/>
      <c r="E180" s="15"/>
    </row>
    <row r="181" spans="4:5" x14ac:dyDescent="0.3">
      <c r="D181" s="123"/>
      <c r="E181" s="15"/>
    </row>
    <row r="182" spans="4:5" x14ac:dyDescent="0.3">
      <c r="D182" s="123"/>
      <c r="E182" s="15"/>
    </row>
    <row r="183" spans="4:5" x14ac:dyDescent="0.3">
      <c r="D183" s="123"/>
      <c r="E183" s="15"/>
    </row>
    <row r="184" spans="4:5" x14ac:dyDescent="0.3">
      <c r="D184" s="123"/>
      <c r="E184" s="15"/>
    </row>
    <row r="185" spans="4:5" x14ac:dyDescent="0.3">
      <c r="D185" s="123"/>
      <c r="E185" s="15"/>
    </row>
    <row r="186" spans="4:5" x14ac:dyDescent="0.3">
      <c r="D186" s="123"/>
      <c r="E186" s="15"/>
    </row>
    <row r="187" spans="4:5" x14ac:dyDescent="0.3">
      <c r="D187" s="123"/>
      <c r="E187" s="15"/>
    </row>
    <row r="188" spans="4:5" x14ac:dyDescent="0.3">
      <c r="D188" s="123"/>
      <c r="E188" s="15"/>
    </row>
    <row r="189" spans="4:5" x14ac:dyDescent="0.3">
      <c r="D189" s="123"/>
      <c r="E189" s="15"/>
    </row>
    <row r="190" spans="4:5" x14ac:dyDescent="0.3">
      <c r="D190" s="123"/>
      <c r="E190" s="15"/>
    </row>
    <row r="191" spans="4:5" x14ac:dyDescent="0.3">
      <c r="D191" s="123"/>
      <c r="E191" s="15"/>
    </row>
    <row r="192" spans="4:5" x14ac:dyDescent="0.3">
      <c r="D192" s="123"/>
      <c r="E192" s="15"/>
    </row>
    <row r="193" spans="4:5" x14ac:dyDescent="0.3">
      <c r="D193" s="123"/>
      <c r="E193" s="15"/>
    </row>
    <row r="194" spans="4:5" x14ac:dyDescent="0.3">
      <c r="D194" s="123"/>
      <c r="E194" s="15"/>
    </row>
    <row r="195" spans="4:5" x14ac:dyDescent="0.3">
      <c r="D195" s="123"/>
      <c r="E195" s="15"/>
    </row>
    <row r="196" spans="4:5" x14ac:dyDescent="0.3">
      <c r="D196" s="123"/>
      <c r="E196" s="15"/>
    </row>
    <row r="197" spans="4:5" x14ac:dyDescent="0.3">
      <c r="D197" s="123"/>
      <c r="E197" s="15"/>
    </row>
    <row r="198" spans="4:5" x14ac:dyDescent="0.3">
      <c r="D198" s="123"/>
      <c r="E198" s="15"/>
    </row>
    <row r="199" spans="4:5" x14ac:dyDescent="0.3">
      <c r="D199" s="123"/>
      <c r="E199" s="15"/>
    </row>
    <row r="200" spans="4:5" x14ac:dyDescent="0.3">
      <c r="D200" s="123"/>
      <c r="E200" s="15"/>
    </row>
    <row r="201" spans="4:5" x14ac:dyDescent="0.3">
      <c r="D201" s="123"/>
      <c r="E201" s="15"/>
    </row>
    <row r="202" spans="4:5" x14ac:dyDescent="0.3">
      <c r="D202" s="123"/>
      <c r="E202" s="15"/>
    </row>
    <row r="203" spans="4:5" x14ac:dyDescent="0.3">
      <c r="D203" s="123"/>
      <c r="E203" s="15"/>
    </row>
    <row r="204" spans="4:5" x14ac:dyDescent="0.3">
      <c r="D204" s="123"/>
      <c r="E204" s="15"/>
    </row>
    <row r="205" spans="4:5" x14ac:dyDescent="0.3">
      <c r="D205" s="123"/>
      <c r="E205" s="15"/>
    </row>
    <row r="206" spans="4:5" x14ac:dyDescent="0.3">
      <c r="D206" s="123"/>
      <c r="E206" s="15"/>
    </row>
    <row r="207" spans="4:5" x14ac:dyDescent="0.3">
      <c r="D207" s="123"/>
      <c r="E207" s="15"/>
    </row>
    <row r="208" spans="4:5" x14ac:dyDescent="0.3">
      <c r="D208" s="123"/>
      <c r="E208" s="15"/>
    </row>
    <row r="209" spans="4:5" x14ac:dyDescent="0.3">
      <c r="D209" s="123"/>
      <c r="E209" s="15"/>
    </row>
    <row r="210" spans="4:5" x14ac:dyDescent="0.3">
      <c r="D210" s="123"/>
      <c r="E210" s="15"/>
    </row>
    <row r="211" spans="4:5" x14ac:dyDescent="0.3">
      <c r="D211" s="123"/>
      <c r="E211" s="15"/>
    </row>
    <row r="212" spans="4:5" x14ac:dyDescent="0.3">
      <c r="D212" s="123"/>
      <c r="E212" s="15"/>
    </row>
    <row r="213" spans="4:5" x14ac:dyDescent="0.3">
      <c r="D213" s="123"/>
      <c r="E213" s="15"/>
    </row>
    <row r="214" spans="4:5" x14ac:dyDescent="0.3">
      <c r="D214" s="123"/>
      <c r="E214" s="15"/>
    </row>
    <row r="215" spans="4:5" x14ac:dyDescent="0.3">
      <c r="D215" s="123"/>
      <c r="E215" s="15"/>
    </row>
    <row r="216" spans="4:5" x14ac:dyDescent="0.3">
      <c r="D216" s="123"/>
      <c r="E216" s="15"/>
    </row>
    <row r="217" spans="4:5" x14ac:dyDescent="0.3">
      <c r="D217" s="123"/>
      <c r="E217" s="15"/>
    </row>
    <row r="218" spans="4:5" x14ac:dyDescent="0.3">
      <c r="D218" s="123"/>
      <c r="E218" s="15"/>
    </row>
    <row r="219" spans="4:5" x14ac:dyDescent="0.3">
      <c r="D219" s="123"/>
      <c r="E219" s="15"/>
    </row>
    <row r="220" spans="4:5" x14ac:dyDescent="0.3">
      <c r="D220" s="123"/>
      <c r="E220" s="15"/>
    </row>
    <row r="221" spans="4:5" x14ac:dyDescent="0.3">
      <c r="D221" s="123"/>
      <c r="E221" s="15"/>
    </row>
    <row r="222" spans="4:5" x14ac:dyDescent="0.3">
      <c r="D222" s="123"/>
      <c r="E222" s="15"/>
    </row>
    <row r="223" spans="4:5" x14ac:dyDescent="0.3">
      <c r="D223" s="123"/>
      <c r="E223" s="15"/>
    </row>
    <row r="224" spans="4:5" x14ac:dyDescent="0.3">
      <c r="D224" s="123"/>
      <c r="E224" s="15"/>
    </row>
    <row r="225" spans="4:5" x14ac:dyDescent="0.3">
      <c r="D225" s="123"/>
      <c r="E225" s="15"/>
    </row>
    <row r="226" spans="4:5" x14ac:dyDescent="0.3">
      <c r="D226" s="123"/>
      <c r="E226" s="15"/>
    </row>
    <row r="227" spans="4:5" x14ac:dyDescent="0.3">
      <c r="D227" s="123"/>
      <c r="E227" s="15"/>
    </row>
    <row r="228" spans="4:5" x14ac:dyDescent="0.3">
      <c r="D228" s="123"/>
      <c r="E228" s="15"/>
    </row>
    <row r="229" spans="4:5" x14ac:dyDescent="0.3">
      <c r="D229" s="123"/>
      <c r="E229" s="15"/>
    </row>
    <row r="230" spans="4:5" x14ac:dyDescent="0.3">
      <c r="D230" s="123"/>
      <c r="E230" s="15"/>
    </row>
    <row r="231" spans="4:5" x14ac:dyDescent="0.3">
      <c r="D231" s="123"/>
      <c r="E231" s="15"/>
    </row>
    <row r="232" spans="4:5" x14ac:dyDescent="0.3">
      <c r="D232" s="123"/>
      <c r="E232" s="15"/>
    </row>
    <row r="233" spans="4:5" x14ac:dyDescent="0.3">
      <c r="D233" s="123"/>
      <c r="E233" s="15"/>
    </row>
    <row r="234" spans="4:5" x14ac:dyDescent="0.3">
      <c r="D234" s="123"/>
      <c r="E234" s="15"/>
    </row>
    <row r="235" spans="4:5" x14ac:dyDescent="0.3">
      <c r="D235" s="123"/>
      <c r="E235" s="15"/>
    </row>
    <row r="236" spans="4:5" x14ac:dyDescent="0.3">
      <c r="D236" s="123"/>
      <c r="E236" s="15"/>
    </row>
    <row r="237" spans="4:5" x14ac:dyDescent="0.3">
      <c r="D237" s="123"/>
      <c r="E237" s="15"/>
    </row>
    <row r="238" spans="4:5" x14ac:dyDescent="0.3">
      <c r="D238" s="123"/>
      <c r="E238" s="15"/>
    </row>
    <row r="239" spans="4:5" x14ac:dyDescent="0.3">
      <c r="D239" s="123"/>
      <c r="E239" s="15"/>
    </row>
    <row r="240" spans="4:5" x14ac:dyDescent="0.3">
      <c r="D240" s="123"/>
      <c r="E240" s="15"/>
    </row>
    <row r="241" spans="4:5" x14ac:dyDescent="0.3">
      <c r="D241" s="123"/>
      <c r="E241" s="15"/>
    </row>
    <row r="242" spans="4:5" x14ac:dyDescent="0.3">
      <c r="D242" s="123"/>
      <c r="E242" s="15"/>
    </row>
    <row r="243" spans="4:5" x14ac:dyDescent="0.3">
      <c r="D243" s="123"/>
      <c r="E243" s="15"/>
    </row>
    <row r="244" spans="4:5" x14ac:dyDescent="0.3">
      <c r="D244" s="123"/>
      <c r="E244" s="15"/>
    </row>
    <row r="245" spans="4:5" x14ac:dyDescent="0.3">
      <c r="D245" s="123"/>
      <c r="E245" s="15"/>
    </row>
    <row r="246" spans="4:5" x14ac:dyDescent="0.3">
      <c r="D246" s="123"/>
      <c r="E246" s="15"/>
    </row>
    <row r="247" spans="4:5" x14ac:dyDescent="0.3">
      <c r="D247" s="123"/>
      <c r="E247" s="15"/>
    </row>
    <row r="248" spans="4:5" x14ac:dyDescent="0.3">
      <c r="D248" s="123"/>
      <c r="E248" s="15"/>
    </row>
    <row r="249" spans="4:5" x14ac:dyDescent="0.3">
      <c r="D249" s="123"/>
      <c r="E249" s="15"/>
    </row>
    <row r="250" spans="4:5" x14ac:dyDescent="0.3">
      <c r="D250" s="123"/>
      <c r="E250" s="15"/>
    </row>
    <row r="251" spans="4:5" x14ac:dyDescent="0.3">
      <c r="D251" s="123"/>
      <c r="E251" s="15"/>
    </row>
    <row r="252" spans="4:5" x14ac:dyDescent="0.3">
      <c r="D252" s="123"/>
      <c r="E252" s="15"/>
    </row>
    <row r="253" spans="4:5" x14ac:dyDescent="0.3">
      <c r="D253" s="123"/>
      <c r="E253" s="15"/>
    </row>
    <row r="254" spans="4:5" x14ac:dyDescent="0.3">
      <c r="D254" s="123"/>
      <c r="E254" s="15"/>
    </row>
    <row r="255" spans="4:5" x14ac:dyDescent="0.3">
      <c r="D255" s="123"/>
      <c r="E255" s="15"/>
    </row>
    <row r="256" spans="4:5" x14ac:dyDescent="0.3">
      <c r="D256" s="123"/>
      <c r="E256" s="15"/>
    </row>
    <row r="257" spans="4:5" x14ac:dyDescent="0.3">
      <c r="D257" s="123"/>
      <c r="E257" s="15"/>
    </row>
    <row r="258" spans="4:5" x14ac:dyDescent="0.3">
      <c r="D258" s="123"/>
      <c r="E258" s="15"/>
    </row>
    <row r="259" spans="4:5" x14ac:dyDescent="0.3">
      <c r="D259" s="123"/>
      <c r="E259" s="15"/>
    </row>
    <row r="260" spans="4:5" x14ac:dyDescent="0.3">
      <c r="D260" s="123"/>
      <c r="E260" s="15"/>
    </row>
    <row r="261" spans="4:5" x14ac:dyDescent="0.3">
      <c r="D261" s="123"/>
      <c r="E261" s="15"/>
    </row>
    <row r="262" spans="4:5" x14ac:dyDescent="0.3">
      <c r="D262" s="123"/>
      <c r="E262" s="15"/>
    </row>
    <row r="263" spans="4:5" x14ac:dyDescent="0.3">
      <c r="D263" s="123"/>
      <c r="E263" s="15"/>
    </row>
    <row r="264" spans="4:5" x14ac:dyDescent="0.3">
      <c r="D264" s="123"/>
      <c r="E264" s="15"/>
    </row>
    <row r="265" spans="4:5" x14ac:dyDescent="0.3">
      <c r="D265" s="123"/>
      <c r="E265" s="15"/>
    </row>
    <row r="266" spans="4:5" x14ac:dyDescent="0.3">
      <c r="D266" s="123"/>
      <c r="E266" s="15"/>
    </row>
    <row r="267" spans="4:5" x14ac:dyDescent="0.3">
      <c r="D267" s="123"/>
      <c r="E267" s="15"/>
    </row>
    <row r="268" spans="4:5" x14ac:dyDescent="0.3">
      <c r="D268" s="123"/>
      <c r="E268" s="15"/>
    </row>
    <row r="269" spans="4:5" x14ac:dyDescent="0.3">
      <c r="D269" s="123"/>
      <c r="E269" s="15"/>
    </row>
    <row r="270" spans="4:5" x14ac:dyDescent="0.3">
      <c r="D270" s="123"/>
      <c r="E270" s="15"/>
    </row>
    <row r="271" spans="4:5" x14ac:dyDescent="0.3">
      <c r="D271" s="123"/>
      <c r="E271" s="15"/>
    </row>
    <row r="272" spans="4:5" x14ac:dyDescent="0.3">
      <c r="D272" s="123"/>
      <c r="E272" s="15"/>
    </row>
    <row r="273" spans="4:5" x14ac:dyDescent="0.3">
      <c r="D273" s="123"/>
      <c r="E273" s="15"/>
    </row>
    <row r="274" spans="4:5" x14ac:dyDescent="0.3">
      <c r="D274" s="123"/>
      <c r="E274" s="15"/>
    </row>
    <row r="275" spans="4:5" x14ac:dyDescent="0.3">
      <c r="D275" s="123"/>
      <c r="E275" s="15"/>
    </row>
    <row r="276" spans="4:5" x14ac:dyDescent="0.3">
      <c r="D276" s="123"/>
      <c r="E276" s="15"/>
    </row>
    <row r="277" spans="4:5" x14ac:dyDescent="0.3">
      <c r="D277" s="123"/>
      <c r="E277" s="15"/>
    </row>
    <row r="278" spans="4:5" x14ac:dyDescent="0.3">
      <c r="D278" s="123"/>
      <c r="E278" s="15"/>
    </row>
    <row r="279" spans="4:5" x14ac:dyDescent="0.3">
      <c r="D279" s="123"/>
      <c r="E279" s="15"/>
    </row>
    <row r="280" spans="4:5" x14ac:dyDescent="0.3">
      <c r="D280" s="123"/>
      <c r="E280" s="15"/>
    </row>
    <row r="281" spans="4:5" x14ac:dyDescent="0.3">
      <c r="D281" s="123"/>
      <c r="E281" s="15"/>
    </row>
    <row r="282" spans="4:5" x14ac:dyDescent="0.3">
      <c r="D282" s="123"/>
      <c r="E282" s="15"/>
    </row>
    <row r="283" spans="4:5" x14ac:dyDescent="0.3">
      <c r="D283" s="123"/>
      <c r="E283" s="15"/>
    </row>
    <row r="284" spans="4:5" x14ac:dyDescent="0.3">
      <c r="D284" s="123"/>
      <c r="E284" s="15"/>
    </row>
    <row r="285" spans="4:5" x14ac:dyDescent="0.3">
      <c r="D285" s="123"/>
      <c r="E285" s="15"/>
    </row>
    <row r="286" spans="4:5" x14ac:dyDescent="0.3">
      <c r="D286" s="123"/>
      <c r="E286" s="15"/>
    </row>
    <row r="287" spans="4:5" x14ac:dyDescent="0.3">
      <c r="D287" s="123"/>
      <c r="E287" s="15"/>
    </row>
    <row r="288" spans="4:5" x14ac:dyDescent="0.3">
      <c r="D288" s="123"/>
      <c r="E288" s="15"/>
    </row>
    <row r="289" spans="4:5" x14ac:dyDescent="0.3">
      <c r="D289" s="123"/>
      <c r="E289" s="15"/>
    </row>
    <row r="290" spans="4:5" x14ac:dyDescent="0.3">
      <c r="D290" s="123"/>
      <c r="E290" s="15"/>
    </row>
    <row r="291" spans="4:5" x14ac:dyDescent="0.3">
      <c r="D291" s="123"/>
      <c r="E291" s="15"/>
    </row>
    <row r="292" spans="4:5" x14ac:dyDescent="0.3">
      <c r="D292" s="123"/>
      <c r="E292" s="15"/>
    </row>
    <row r="293" spans="4:5" x14ac:dyDescent="0.3">
      <c r="D293" s="123"/>
      <c r="E293" s="15"/>
    </row>
    <row r="294" spans="4:5" x14ac:dyDescent="0.3">
      <c r="D294" s="123"/>
      <c r="E294" s="15"/>
    </row>
    <row r="295" spans="4:5" x14ac:dyDescent="0.3">
      <c r="D295" s="123"/>
      <c r="E295" s="15"/>
    </row>
    <row r="296" spans="4:5" x14ac:dyDescent="0.3">
      <c r="D296" s="123"/>
      <c r="E296" s="15"/>
    </row>
    <row r="297" spans="4:5" x14ac:dyDescent="0.3">
      <c r="D297" s="123"/>
      <c r="E297" s="15"/>
    </row>
    <row r="298" spans="4:5" x14ac:dyDescent="0.3">
      <c r="D298" s="123"/>
      <c r="E298" s="15"/>
    </row>
    <row r="299" spans="4:5" x14ac:dyDescent="0.3">
      <c r="D299" s="123"/>
      <c r="E299" s="15"/>
    </row>
    <row r="300" spans="4:5" x14ac:dyDescent="0.3">
      <c r="D300" s="123"/>
      <c r="E300" s="15"/>
    </row>
    <row r="301" spans="4:5" x14ac:dyDescent="0.3">
      <c r="D301" s="123"/>
      <c r="E301" s="15"/>
    </row>
    <row r="302" spans="4:5" x14ac:dyDescent="0.3">
      <c r="D302" s="123"/>
      <c r="E302" s="15"/>
    </row>
    <row r="303" spans="4:5" x14ac:dyDescent="0.3">
      <c r="D303" s="123"/>
      <c r="E303" s="15"/>
    </row>
    <row r="304" spans="4:5" x14ac:dyDescent="0.3">
      <c r="D304" s="123"/>
      <c r="E304" s="15"/>
    </row>
    <row r="305" spans="4:5" x14ac:dyDescent="0.3">
      <c r="D305" s="123"/>
      <c r="E305" s="15"/>
    </row>
    <row r="306" spans="4:5" x14ac:dyDescent="0.3">
      <c r="D306" s="123"/>
      <c r="E306" s="15"/>
    </row>
    <row r="307" spans="4:5" x14ac:dyDescent="0.3">
      <c r="D307" s="123"/>
      <c r="E307" s="15"/>
    </row>
    <row r="308" spans="4:5" x14ac:dyDescent="0.3">
      <c r="D308" s="123"/>
      <c r="E308" s="15"/>
    </row>
    <row r="309" spans="4:5" x14ac:dyDescent="0.3">
      <c r="D309" s="123"/>
      <c r="E309" s="15"/>
    </row>
    <row r="310" spans="4:5" x14ac:dyDescent="0.3">
      <c r="D310" s="123"/>
      <c r="E310" s="15"/>
    </row>
    <row r="311" spans="4:5" x14ac:dyDescent="0.3">
      <c r="D311" s="123"/>
      <c r="E311" s="15"/>
    </row>
    <row r="312" spans="4:5" x14ac:dyDescent="0.3">
      <c r="D312" s="123"/>
      <c r="E312" s="15"/>
    </row>
    <row r="313" spans="4:5" x14ac:dyDescent="0.3">
      <c r="D313" s="123"/>
      <c r="E313" s="15"/>
    </row>
    <row r="314" spans="4:5" x14ac:dyDescent="0.3">
      <c r="D314" s="123"/>
      <c r="E314" s="15"/>
    </row>
    <row r="315" spans="4:5" x14ac:dyDescent="0.3">
      <c r="D315" s="123"/>
      <c r="E315" s="15"/>
    </row>
    <row r="316" spans="4:5" x14ac:dyDescent="0.3">
      <c r="D316" s="123"/>
      <c r="E316" s="15"/>
    </row>
    <row r="317" spans="4:5" x14ac:dyDescent="0.3">
      <c r="D317" s="123"/>
      <c r="E317" s="15"/>
    </row>
    <row r="318" spans="4:5" x14ac:dyDescent="0.3">
      <c r="D318" s="123"/>
      <c r="E318" s="15"/>
    </row>
    <row r="319" spans="4:5" x14ac:dyDescent="0.3">
      <c r="D319" s="123"/>
      <c r="E319" s="15"/>
    </row>
    <row r="320" spans="4:5" x14ac:dyDescent="0.3">
      <c r="D320" s="123"/>
      <c r="E320" s="15"/>
    </row>
    <row r="321" spans="4:5" x14ac:dyDescent="0.3">
      <c r="D321" s="123"/>
      <c r="E321" s="15"/>
    </row>
    <row r="322" spans="4:5" x14ac:dyDescent="0.3">
      <c r="D322" s="123"/>
      <c r="E322" s="15"/>
    </row>
    <row r="323" spans="4:5" x14ac:dyDescent="0.3">
      <c r="D323" s="123"/>
      <c r="E323" s="15"/>
    </row>
    <row r="324" spans="4:5" x14ac:dyDescent="0.3">
      <c r="D324" s="123"/>
      <c r="E324" s="15"/>
    </row>
    <row r="325" spans="4:5" x14ac:dyDescent="0.3">
      <c r="D325" s="123"/>
      <c r="E325" s="15"/>
    </row>
    <row r="326" spans="4:5" x14ac:dyDescent="0.3">
      <c r="D326" s="123"/>
      <c r="E326" s="15"/>
    </row>
    <row r="327" spans="4:5" x14ac:dyDescent="0.3">
      <c r="D327" s="123"/>
      <c r="E327" s="15"/>
    </row>
    <row r="328" spans="4:5" x14ac:dyDescent="0.3">
      <c r="D328" s="123"/>
      <c r="E328" s="15"/>
    </row>
    <row r="329" spans="4:5" x14ac:dyDescent="0.3">
      <c r="D329" s="123"/>
      <c r="E329" s="15"/>
    </row>
    <row r="330" spans="4:5" x14ac:dyDescent="0.3">
      <c r="D330" s="123"/>
      <c r="E330" s="15"/>
    </row>
    <row r="331" spans="4:5" x14ac:dyDescent="0.3">
      <c r="D331" s="123"/>
      <c r="E331" s="15"/>
    </row>
    <row r="332" spans="4:5" x14ac:dyDescent="0.3">
      <c r="D332" s="123"/>
      <c r="E332" s="15"/>
    </row>
    <row r="333" spans="4:5" x14ac:dyDescent="0.3">
      <c r="D333" s="123"/>
      <c r="E333" s="15"/>
    </row>
    <row r="334" spans="4:5" x14ac:dyDescent="0.3">
      <c r="D334" s="123"/>
      <c r="E334" s="15"/>
    </row>
    <row r="335" spans="4:5" x14ac:dyDescent="0.3">
      <c r="D335" s="123"/>
      <c r="E335" s="15"/>
    </row>
    <row r="336" spans="4:5" x14ac:dyDescent="0.3">
      <c r="D336" s="123"/>
      <c r="E336" s="15"/>
    </row>
    <row r="337" spans="4:5" x14ac:dyDescent="0.3">
      <c r="D337" s="123"/>
      <c r="E337" s="15"/>
    </row>
    <row r="338" spans="4:5" x14ac:dyDescent="0.3">
      <c r="D338" s="123"/>
      <c r="E338" s="15"/>
    </row>
    <row r="339" spans="4:5" x14ac:dyDescent="0.3">
      <c r="D339" s="123"/>
      <c r="E339" s="15"/>
    </row>
    <row r="340" spans="4:5" x14ac:dyDescent="0.3">
      <c r="D340" s="123"/>
      <c r="E340" s="15"/>
    </row>
    <row r="341" spans="4:5" x14ac:dyDescent="0.3">
      <c r="D341" s="123"/>
      <c r="E341" s="15"/>
    </row>
    <row r="342" spans="4:5" x14ac:dyDescent="0.3">
      <c r="D342" s="123"/>
      <c r="E342" s="15"/>
    </row>
    <row r="343" spans="4:5" x14ac:dyDescent="0.3">
      <c r="D343" s="123"/>
      <c r="E343" s="15"/>
    </row>
    <row r="344" spans="4:5" x14ac:dyDescent="0.3">
      <c r="D344" s="123"/>
      <c r="E344" s="15"/>
    </row>
    <row r="345" spans="4:5" x14ac:dyDescent="0.3">
      <c r="D345" s="123"/>
      <c r="E345" s="15"/>
    </row>
    <row r="346" spans="4:5" x14ac:dyDescent="0.3">
      <c r="D346" s="123"/>
      <c r="E346" s="15"/>
    </row>
    <row r="347" spans="4:5" x14ac:dyDescent="0.3">
      <c r="D347" s="123"/>
      <c r="E347" s="15"/>
    </row>
    <row r="348" spans="4:5" x14ac:dyDescent="0.3">
      <c r="D348" s="123"/>
      <c r="E348" s="15"/>
    </row>
    <row r="349" spans="4:5" x14ac:dyDescent="0.3">
      <c r="D349" s="123"/>
      <c r="E349" s="15"/>
    </row>
    <row r="350" spans="4:5" x14ac:dyDescent="0.3">
      <c r="D350" s="123"/>
      <c r="E350" s="15"/>
    </row>
    <row r="351" spans="4:5" x14ac:dyDescent="0.3">
      <c r="D351" s="123"/>
      <c r="E351" s="15"/>
    </row>
    <row r="352" spans="4:5" x14ac:dyDescent="0.3">
      <c r="D352" s="123"/>
      <c r="E352" s="15"/>
    </row>
    <row r="353" spans="4:5" x14ac:dyDescent="0.3">
      <c r="D353" s="123"/>
      <c r="E353" s="15"/>
    </row>
    <row r="354" spans="4:5" x14ac:dyDescent="0.3">
      <c r="D354" s="123"/>
      <c r="E354" s="15"/>
    </row>
    <row r="355" spans="4:5" x14ac:dyDescent="0.3">
      <c r="D355" s="123"/>
      <c r="E355" s="15"/>
    </row>
    <row r="356" spans="4:5" x14ac:dyDescent="0.3">
      <c r="D356" s="123"/>
      <c r="E356" s="15"/>
    </row>
    <row r="357" spans="4:5" x14ac:dyDescent="0.3">
      <c r="D357" s="123"/>
      <c r="E357" s="15"/>
    </row>
    <row r="358" spans="4:5" x14ac:dyDescent="0.3">
      <c r="D358" s="123"/>
      <c r="E358" s="15"/>
    </row>
    <row r="359" spans="4:5" x14ac:dyDescent="0.3">
      <c r="D359" s="123"/>
      <c r="E359" s="15"/>
    </row>
    <row r="360" spans="4:5" x14ac:dyDescent="0.3">
      <c r="D360" s="123"/>
      <c r="E360" s="15"/>
    </row>
    <row r="361" spans="4:5" x14ac:dyDescent="0.3">
      <c r="D361" s="123"/>
      <c r="E361" s="15"/>
    </row>
    <row r="362" spans="4:5" x14ac:dyDescent="0.3">
      <c r="D362" s="123"/>
      <c r="E362" s="15"/>
    </row>
    <row r="363" spans="4:5" x14ac:dyDescent="0.3">
      <c r="D363" s="123"/>
      <c r="E363" s="15"/>
    </row>
    <row r="364" spans="4:5" x14ac:dyDescent="0.3">
      <c r="D364" s="123"/>
      <c r="E364" s="15"/>
    </row>
    <row r="365" spans="4:5" x14ac:dyDescent="0.3">
      <c r="D365" s="123"/>
      <c r="E365" s="15"/>
    </row>
    <row r="366" spans="4:5" x14ac:dyDescent="0.3">
      <c r="D366" s="123"/>
      <c r="E366" s="15"/>
    </row>
    <row r="367" spans="4:5" x14ac:dyDescent="0.3">
      <c r="D367" s="123"/>
      <c r="E367" s="15"/>
    </row>
    <row r="368" spans="4:5" x14ac:dyDescent="0.3">
      <c r="D368" s="123"/>
      <c r="E368" s="15"/>
    </row>
    <row r="369" spans="4:5" x14ac:dyDescent="0.3">
      <c r="D369" s="123"/>
      <c r="E369" s="15"/>
    </row>
    <row r="370" spans="4:5" x14ac:dyDescent="0.3">
      <c r="D370" s="123"/>
      <c r="E370" s="15"/>
    </row>
    <row r="371" spans="4:5" x14ac:dyDescent="0.3">
      <c r="D371" s="123"/>
      <c r="E371" s="15"/>
    </row>
    <row r="372" spans="4:5" x14ac:dyDescent="0.3">
      <c r="D372" s="123"/>
      <c r="E372" s="15"/>
    </row>
    <row r="373" spans="4:5" x14ac:dyDescent="0.3">
      <c r="D373" s="123"/>
      <c r="E373" s="15"/>
    </row>
    <row r="374" spans="4:5" x14ac:dyDescent="0.3">
      <c r="D374" s="123"/>
      <c r="E374" s="15"/>
    </row>
    <row r="375" spans="4:5" x14ac:dyDescent="0.3">
      <c r="D375" s="123"/>
      <c r="E375" s="15"/>
    </row>
    <row r="376" spans="4:5" x14ac:dyDescent="0.3">
      <c r="D376" s="123"/>
      <c r="E376" s="15"/>
    </row>
    <row r="377" spans="4:5" x14ac:dyDescent="0.3">
      <c r="D377" s="123"/>
      <c r="E377" s="15"/>
    </row>
    <row r="378" spans="4:5" x14ac:dyDescent="0.3">
      <c r="D378" s="123"/>
      <c r="E378" s="15"/>
    </row>
    <row r="379" spans="4:5" x14ac:dyDescent="0.3">
      <c r="D379" s="123"/>
      <c r="E379" s="15"/>
    </row>
    <row r="380" spans="4:5" x14ac:dyDescent="0.3">
      <c r="D380" s="123"/>
      <c r="E380" s="15"/>
    </row>
    <row r="381" spans="4:5" x14ac:dyDescent="0.3">
      <c r="D381" s="123"/>
      <c r="E381" s="15"/>
    </row>
    <row r="382" spans="4:5" x14ac:dyDescent="0.3">
      <c r="D382" s="123"/>
      <c r="E382" s="15"/>
    </row>
    <row r="383" spans="4:5" x14ac:dyDescent="0.3">
      <c r="D383" s="123"/>
      <c r="E383" s="15"/>
    </row>
    <row r="384" spans="4:5" x14ac:dyDescent="0.3">
      <c r="D384" s="123"/>
      <c r="E384" s="15"/>
    </row>
    <row r="385" spans="4:5" x14ac:dyDescent="0.3">
      <c r="D385" s="123"/>
      <c r="E385" s="15"/>
    </row>
    <row r="386" spans="4:5" x14ac:dyDescent="0.3">
      <c r="D386" s="123"/>
      <c r="E386" s="15"/>
    </row>
    <row r="387" spans="4:5" x14ac:dyDescent="0.3">
      <c r="D387" s="123"/>
      <c r="E387" s="15"/>
    </row>
    <row r="388" spans="4:5" x14ac:dyDescent="0.3">
      <c r="D388" s="123"/>
      <c r="E388" s="15"/>
    </row>
    <row r="389" spans="4:5" x14ac:dyDescent="0.3">
      <c r="D389" s="123"/>
      <c r="E389" s="15"/>
    </row>
    <row r="390" spans="4:5" x14ac:dyDescent="0.3">
      <c r="D390" s="123"/>
      <c r="E390" s="15"/>
    </row>
    <row r="391" spans="4:5" x14ac:dyDescent="0.3">
      <c r="D391" s="123"/>
      <c r="E391" s="15"/>
    </row>
    <row r="392" spans="4:5" x14ac:dyDescent="0.3">
      <c r="D392" s="123"/>
      <c r="E392" s="15"/>
    </row>
    <row r="393" spans="4:5" x14ac:dyDescent="0.3">
      <c r="D393" s="123"/>
      <c r="E393" s="15"/>
    </row>
    <row r="394" spans="4:5" x14ac:dyDescent="0.3">
      <c r="D394" s="123"/>
      <c r="E394" s="15"/>
    </row>
    <row r="395" spans="4:5" x14ac:dyDescent="0.3">
      <c r="D395" s="123"/>
      <c r="E395" s="15"/>
    </row>
    <row r="396" spans="4:5" x14ac:dyDescent="0.3">
      <c r="D396" s="123"/>
      <c r="E396" s="15"/>
    </row>
    <row r="397" spans="4:5" x14ac:dyDescent="0.3">
      <c r="D397" s="123"/>
      <c r="E397" s="15"/>
    </row>
    <row r="398" spans="4:5" x14ac:dyDescent="0.3">
      <c r="D398" s="123"/>
      <c r="E398" s="15"/>
    </row>
    <row r="399" spans="4:5" x14ac:dyDescent="0.3">
      <c r="D399" s="123"/>
      <c r="E399" s="15"/>
    </row>
    <row r="400" spans="4:5" x14ac:dyDescent="0.3">
      <c r="D400" s="123"/>
      <c r="E400" s="15"/>
    </row>
    <row r="401" spans="4:5" x14ac:dyDescent="0.3">
      <c r="D401" s="123"/>
      <c r="E401" s="15"/>
    </row>
    <row r="402" spans="4:5" x14ac:dyDescent="0.3">
      <c r="D402" s="123"/>
      <c r="E402" s="15"/>
    </row>
    <row r="403" spans="4:5" x14ac:dyDescent="0.3">
      <c r="D403" s="123"/>
      <c r="E403" s="15"/>
    </row>
    <row r="404" spans="4:5" x14ac:dyDescent="0.3">
      <c r="D404" s="123"/>
      <c r="E404" s="15"/>
    </row>
    <row r="405" spans="4:5" x14ac:dyDescent="0.3">
      <c r="D405" s="123"/>
      <c r="E405" s="15"/>
    </row>
    <row r="406" spans="4:5" x14ac:dyDescent="0.3">
      <c r="D406" s="123"/>
      <c r="E406" s="15"/>
    </row>
    <row r="407" spans="4:5" x14ac:dyDescent="0.3">
      <c r="D407" s="123"/>
      <c r="E407" s="15"/>
    </row>
    <row r="408" spans="4:5" x14ac:dyDescent="0.3">
      <c r="D408" s="123"/>
      <c r="E408" s="15"/>
    </row>
    <row r="409" spans="4:5" x14ac:dyDescent="0.3">
      <c r="D409" s="123"/>
      <c r="E409" s="15"/>
    </row>
    <row r="410" spans="4:5" x14ac:dyDescent="0.3">
      <c r="D410" s="123"/>
      <c r="E410" s="15"/>
    </row>
    <row r="411" spans="4:5" x14ac:dyDescent="0.3">
      <c r="D411" s="123"/>
      <c r="E411" s="15"/>
    </row>
    <row r="412" spans="4:5" x14ac:dyDescent="0.3">
      <c r="D412" s="123"/>
      <c r="E412" s="15"/>
    </row>
    <row r="413" spans="4:5" x14ac:dyDescent="0.3">
      <c r="D413" s="123"/>
      <c r="E413" s="15"/>
    </row>
    <row r="414" spans="4:5" x14ac:dyDescent="0.3">
      <c r="D414" s="123"/>
      <c r="E414" s="15"/>
    </row>
    <row r="415" spans="4:5" x14ac:dyDescent="0.3">
      <c r="D415" s="123"/>
      <c r="E415" s="15"/>
    </row>
    <row r="416" spans="4:5" x14ac:dyDescent="0.3">
      <c r="D416" s="123"/>
      <c r="E416" s="15"/>
    </row>
    <row r="417" spans="4:5" x14ac:dyDescent="0.3">
      <c r="D417" s="123"/>
      <c r="E417" s="15"/>
    </row>
    <row r="418" spans="4:5" x14ac:dyDescent="0.3">
      <c r="D418" s="123"/>
      <c r="E418" s="15"/>
    </row>
    <row r="419" spans="4:5" x14ac:dyDescent="0.3">
      <c r="D419" s="123"/>
      <c r="E419" s="15"/>
    </row>
    <row r="420" spans="4:5" x14ac:dyDescent="0.3">
      <c r="D420" s="123"/>
      <c r="E420" s="15"/>
    </row>
    <row r="421" spans="4:5" x14ac:dyDescent="0.3">
      <c r="D421" s="123"/>
      <c r="E421" s="15"/>
    </row>
    <row r="422" spans="4:5" x14ac:dyDescent="0.3">
      <c r="D422" s="123"/>
      <c r="E422" s="15"/>
    </row>
    <row r="423" spans="4:5" x14ac:dyDescent="0.3">
      <c r="D423" s="123"/>
      <c r="E423" s="15"/>
    </row>
    <row r="424" spans="4:5" x14ac:dyDescent="0.3">
      <c r="D424" s="123"/>
      <c r="E424" s="15"/>
    </row>
    <row r="425" spans="4:5" x14ac:dyDescent="0.3">
      <c r="D425" s="123"/>
      <c r="E425" s="15"/>
    </row>
    <row r="426" spans="4:5" x14ac:dyDescent="0.3">
      <c r="D426" s="123"/>
      <c r="E426" s="15"/>
    </row>
    <row r="427" spans="4:5" x14ac:dyDescent="0.3">
      <c r="D427" s="123"/>
      <c r="E427" s="15"/>
    </row>
    <row r="428" spans="4:5" x14ac:dyDescent="0.3">
      <c r="D428" s="123"/>
      <c r="E428" s="15"/>
    </row>
    <row r="429" spans="4:5" x14ac:dyDescent="0.3">
      <c r="D429" s="123"/>
      <c r="E429" s="15"/>
    </row>
    <row r="430" spans="4:5" x14ac:dyDescent="0.3">
      <c r="D430" s="123"/>
      <c r="E430" s="15"/>
    </row>
    <row r="431" spans="4:5" x14ac:dyDescent="0.3">
      <c r="D431" s="123"/>
      <c r="E431" s="15"/>
    </row>
    <row r="432" spans="4:5" x14ac:dyDescent="0.3">
      <c r="D432" s="123"/>
      <c r="E432" s="15"/>
    </row>
    <row r="433" spans="4:5" x14ac:dyDescent="0.3">
      <c r="D433" s="123"/>
      <c r="E433" s="15"/>
    </row>
    <row r="434" spans="4:5" x14ac:dyDescent="0.3">
      <c r="D434" s="123"/>
      <c r="E434" s="15"/>
    </row>
    <row r="435" spans="4:5" x14ac:dyDescent="0.3">
      <c r="D435" s="123"/>
      <c r="E435" s="15"/>
    </row>
    <row r="436" spans="4:5" x14ac:dyDescent="0.3">
      <c r="D436" s="123"/>
      <c r="E436" s="15"/>
    </row>
    <row r="437" spans="4:5" x14ac:dyDescent="0.3">
      <c r="D437" s="123"/>
      <c r="E437" s="15"/>
    </row>
    <row r="438" spans="4:5" x14ac:dyDescent="0.3">
      <c r="D438" s="123"/>
      <c r="E438" s="15"/>
    </row>
    <row r="439" spans="4:5" x14ac:dyDescent="0.3">
      <c r="D439" s="123"/>
      <c r="E439" s="15"/>
    </row>
    <row r="440" spans="4:5" x14ac:dyDescent="0.3">
      <c r="D440" s="123"/>
      <c r="E440" s="15"/>
    </row>
    <row r="441" spans="4:5" x14ac:dyDescent="0.3">
      <c r="D441" s="123"/>
      <c r="E441" s="15"/>
    </row>
    <row r="442" spans="4:5" x14ac:dyDescent="0.3">
      <c r="D442" s="123"/>
      <c r="E442" s="15"/>
    </row>
    <row r="443" spans="4:5" x14ac:dyDescent="0.3">
      <c r="D443" s="123"/>
      <c r="E443" s="15"/>
    </row>
    <row r="444" spans="4:5" x14ac:dyDescent="0.3">
      <c r="D444" s="123"/>
      <c r="E444" s="15"/>
    </row>
    <row r="445" spans="4:5" x14ac:dyDescent="0.3">
      <c r="D445" s="123"/>
      <c r="E445" s="15"/>
    </row>
    <row r="446" spans="4:5" x14ac:dyDescent="0.3">
      <c r="D446" s="123"/>
      <c r="E446" s="15"/>
    </row>
    <row r="447" spans="4:5" x14ac:dyDescent="0.3">
      <c r="D447" s="123"/>
      <c r="E447" s="15"/>
    </row>
    <row r="448" spans="4:5" x14ac:dyDescent="0.3">
      <c r="D448" s="123"/>
      <c r="E448" s="15"/>
    </row>
    <row r="449" spans="4:5" x14ac:dyDescent="0.3">
      <c r="D449" s="123"/>
      <c r="E449" s="15"/>
    </row>
    <row r="450" spans="4:5" x14ac:dyDescent="0.3">
      <c r="D450" s="123"/>
      <c r="E450" s="15"/>
    </row>
    <row r="451" spans="4:5" x14ac:dyDescent="0.3">
      <c r="D451" s="123"/>
      <c r="E451" s="15"/>
    </row>
    <row r="452" spans="4:5" x14ac:dyDescent="0.3">
      <c r="D452" s="123"/>
      <c r="E452" s="15"/>
    </row>
    <row r="453" spans="4:5" x14ac:dyDescent="0.3">
      <c r="D453" s="123"/>
      <c r="E453" s="15"/>
    </row>
    <row r="454" spans="4:5" x14ac:dyDescent="0.3">
      <c r="D454" s="123"/>
      <c r="E454" s="15"/>
    </row>
    <row r="455" spans="4:5" x14ac:dyDescent="0.3">
      <c r="D455" s="123"/>
      <c r="E455" s="15"/>
    </row>
    <row r="456" spans="4:5" x14ac:dyDescent="0.3">
      <c r="D456" s="123"/>
      <c r="E456" s="15"/>
    </row>
    <row r="457" spans="4:5" x14ac:dyDescent="0.3">
      <c r="D457" s="123"/>
      <c r="E457" s="15"/>
    </row>
    <row r="458" spans="4:5" x14ac:dyDescent="0.3">
      <c r="D458" s="123"/>
      <c r="E458" s="15"/>
    </row>
    <row r="459" spans="4:5" x14ac:dyDescent="0.3">
      <c r="D459" s="123"/>
      <c r="E459" s="15"/>
    </row>
    <row r="460" spans="4:5" x14ac:dyDescent="0.3">
      <c r="D460" s="123"/>
      <c r="E460" s="15"/>
    </row>
    <row r="461" spans="4:5" x14ac:dyDescent="0.3">
      <c r="D461" s="123"/>
      <c r="E461" s="15"/>
    </row>
    <row r="462" spans="4:5" x14ac:dyDescent="0.3">
      <c r="D462" s="123"/>
      <c r="E462" s="15"/>
    </row>
    <row r="463" spans="4:5" x14ac:dyDescent="0.3">
      <c r="D463" s="123"/>
      <c r="E463" s="15"/>
    </row>
    <row r="464" spans="4:5" x14ac:dyDescent="0.3">
      <c r="D464" s="123"/>
      <c r="E464" s="15"/>
    </row>
    <row r="465" spans="4:5" x14ac:dyDescent="0.3">
      <c r="D465" s="123"/>
      <c r="E465" s="15"/>
    </row>
    <row r="466" spans="4:5" x14ac:dyDescent="0.3">
      <c r="D466" s="123"/>
      <c r="E466" s="15"/>
    </row>
    <row r="467" spans="4:5" x14ac:dyDescent="0.3">
      <c r="D467" s="123"/>
      <c r="E467" s="15"/>
    </row>
    <row r="468" spans="4:5" x14ac:dyDescent="0.3">
      <c r="D468" s="123"/>
      <c r="E468" s="15"/>
    </row>
    <row r="469" spans="4:5" x14ac:dyDescent="0.3">
      <c r="D469" s="123"/>
      <c r="E469" s="15"/>
    </row>
    <row r="470" spans="4:5" x14ac:dyDescent="0.3">
      <c r="D470" s="123"/>
      <c r="E470" s="15"/>
    </row>
    <row r="471" spans="4:5" x14ac:dyDescent="0.3">
      <c r="D471" s="123"/>
      <c r="E471" s="15"/>
    </row>
    <row r="472" spans="4:5" x14ac:dyDescent="0.3">
      <c r="D472" s="123"/>
      <c r="E472" s="15"/>
    </row>
    <row r="473" spans="4:5" x14ac:dyDescent="0.3">
      <c r="D473" s="123"/>
      <c r="E473" s="15"/>
    </row>
    <row r="474" spans="4:5" x14ac:dyDescent="0.3">
      <c r="D474" s="123"/>
      <c r="E474" s="15"/>
    </row>
    <row r="475" spans="4:5" x14ac:dyDescent="0.3">
      <c r="D475" s="123"/>
      <c r="E475" s="15"/>
    </row>
    <row r="476" spans="4:5" x14ac:dyDescent="0.3">
      <c r="D476" s="123"/>
      <c r="E476" s="15"/>
    </row>
    <row r="477" spans="4:5" x14ac:dyDescent="0.3">
      <c r="D477" s="123"/>
      <c r="E477" s="15"/>
    </row>
    <row r="478" spans="4:5" x14ac:dyDescent="0.3">
      <c r="D478" s="123"/>
      <c r="E478" s="15"/>
    </row>
    <row r="479" spans="4:5" x14ac:dyDescent="0.3">
      <c r="D479" s="123"/>
      <c r="E479" s="15"/>
    </row>
    <row r="480" spans="4:5" x14ac:dyDescent="0.3">
      <c r="D480" s="123"/>
      <c r="E480" s="15"/>
    </row>
    <row r="481" spans="4:5" x14ac:dyDescent="0.3">
      <c r="D481" s="123"/>
      <c r="E481" s="15"/>
    </row>
    <row r="482" spans="4:5" x14ac:dyDescent="0.3">
      <c r="D482" s="123"/>
      <c r="E482" s="15"/>
    </row>
    <row r="483" spans="4:5" x14ac:dyDescent="0.3">
      <c r="D483" s="123"/>
      <c r="E483" s="15"/>
    </row>
    <row r="484" spans="4:5" x14ac:dyDescent="0.3">
      <c r="D484" s="123"/>
      <c r="E484" s="15"/>
    </row>
    <row r="485" spans="4:5" x14ac:dyDescent="0.3">
      <c r="D485" s="123"/>
      <c r="E485" s="15"/>
    </row>
    <row r="486" spans="4:5" x14ac:dyDescent="0.3">
      <c r="D486" s="123"/>
      <c r="E486" s="15"/>
    </row>
    <row r="487" spans="4:5" x14ac:dyDescent="0.3">
      <c r="D487" s="123"/>
      <c r="E487" s="15"/>
    </row>
    <row r="488" spans="4:5" x14ac:dyDescent="0.3">
      <c r="D488" s="123"/>
      <c r="E488" s="15"/>
    </row>
    <row r="489" spans="4:5" x14ac:dyDescent="0.3">
      <c r="D489" s="123"/>
      <c r="E489" s="15"/>
    </row>
    <row r="490" spans="4:5" x14ac:dyDescent="0.3">
      <c r="D490" s="123"/>
      <c r="E490" s="15"/>
    </row>
    <row r="491" spans="4:5" x14ac:dyDescent="0.3">
      <c r="D491" s="123"/>
      <c r="E491" s="15"/>
    </row>
    <row r="492" spans="4:5" x14ac:dyDescent="0.3">
      <c r="D492" s="123"/>
      <c r="E492" s="15"/>
    </row>
    <row r="493" spans="4:5" x14ac:dyDescent="0.3">
      <c r="D493" s="123"/>
      <c r="E493" s="15"/>
    </row>
    <row r="494" spans="4:5" x14ac:dyDescent="0.3">
      <c r="D494" s="123"/>
      <c r="E494" s="15"/>
    </row>
    <row r="495" spans="4:5" x14ac:dyDescent="0.3">
      <c r="D495" s="123"/>
      <c r="E495" s="15"/>
    </row>
    <row r="496" spans="4:5" x14ac:dyDescent="0.3">
      <c r="D496" s="123"/>
      <c r="E496" s="15"/>
    </row>
    <row r="497" spans="4:5" x14ac:dyDescent="0.3">
      <c r="D497" s="123"/>
      <c r="E497" s="15"/>
    </row>
    <row r="498" spans="4:5" x14ac:dyDescent="0.3">
      <c r="D498" s="123"/>
      <c r="E498" s="15"/>
    </row>
    <row r="499" spans="4:5" x14ac:dyDescent="0.3">
      <c r="D499" s="123"/>
      <c r="E499" s="15"/>
    </row>
    <row r="500" spans="4:5" x14ac:dyDescent="0.3">
      <c r="D500" s="123"/>
      <c r="E500" s="15"/>
    </row>
    <row r="501" spans="4:5" x14ac:dyDescent="0.3">
      <c r="D501" s="123"/>
      <c r="E501" s="15"/>
    </row>
    <row r="502" spans="4:5" x14ac:dyDescent="0.3">
      <c r="D502" s="123"/>
      <c r="E502" s="15"/>
    </row>
    <row r="503" spans="4:5" x14ac:dyDescent="0.3">
      <c r="D503" s="123"/>
      <c r="E503" s="15"/>
    </row>
    <row r="504" spans="4:5" x14ac:dyDescent="0.3">
      <c r="D504" s="123"/>
      <c r="E504" s="15"/>
    </row>
    <row r="505" spans="4:5" x14ac:dyDescent="0.3">
      <c r="D505" s="123"/>
      <c r="E505" s="15"/>
    </row>
    <row r="506" spans="4:5" x14ac:dyDescent="0.3">
      <c r="D506" s="123"/>
      <c r="E506" s="15"/>
    </row>
    <row r="507" spans="4:5" x14ac:dyDescent="0.3">
      <c r="D507" s="123"/>
      <c r="E507" s="15"/>
    </row>
    <row r="508" spans="4:5" x14ac:dyDescent="0.3">
      <c r="D508" s="123"/>
      <c r="E508" s="15"/>
    </row>
    <row r="509" spans="4:5" x14ac:dyDescent="0.3">
      <c r="D509" s="123"/>
      <c r="E509" s="15"/>
    </row>
    <row r="510" spans="4:5" x14ac:dyDescent="0.3">
      <c r="D510" s="123"/>
      <c r="E510" s="15"/>
    </row>
    <row r="511" spans="4:5" x14ac:dyDescent="0.3">
      <c r="D511" s="123"/>
      <c r="E511" s="15"/>
    </row>
    <row r="512" spans="4:5" x14ac:dyDescent="0.3">
      <c r="D512" s="123"/>
      <c r="E512" s="15"/>
    </row>
    <row r="513" spans="4:5" x14ac:dyDescent="0.3">
      <c r="D513" s="123"/>
      <c r="E513" s="15"/>
    </row>
    <row r="514" spans="4:5" x14ac:dyDescent="0.3">
      <c r="D514" s="123"/>
      <c r="E514" s="15"/>
    </row>
    <row r="515" spans="4:5" x14ac:dyDescent="0.3">
      <c r="D515" s="123"/>
      <c r="E515" s="15"/>
    </row>
    <row r="516" spans="4:5" x14ac:dyDescent="0.3">
      <c r="D516" s="123"/>
      <c r="E516" s="15"/>
    </row>
    <row r="517" spans="4:5" x14ac:dyDescent="0.3">
      <c r="D517" s="123"/>
      <c r="E517" s="15"/>
    </row>
    <row r="518" spans="4:5" x14ac:dyDescent="0.3">
      <c r="D518" s="123"/>
      <c r="E518" s="15"/>
    </row>
    <row r="519" spans="4:5" x14ac:dyDescent="0.3">
      <c r="D519" s="123"/>
      <c r="E519" s="15"/>
    </row>
    <row r="520" spans="4:5" x14ac:dyDescent="0.3">
      <c r="D520" s="123"/>
      <c r="E520" s="15"/>
    </row>
    <row r="521" spans="4:5" x14ac:dyDescent="0.3">
      <c r="D521" s="123"/>
      <c r="E521" s="15"/>
    </row>
    <row r="522" spans="4:5" x14ac:dyDescent="0.3">
      <c r="D522" s="123"/>
      <c r="E522" s="15"/>
    </row>
    <row r="523" spans="4:5" x14ac:dyDescent="0.3">
      <c r="D523" s="123"/>
      <c r="E523" s="15"/>
    </row>
    <row r="524" spans="4:5" x14ac:dyDescent="0.3">
      <c r="D524" s="123"/>
      <c r="E524" s="15"/>
    </row>
    <row r="525" spans="4:5" x14ac:dyDescent="0.3">
      <c r="D525" s="123"/>
      <c r="E525" s="15"/>
    </row>
    <row r="526" spans="4:5" x14ac:dyDescent="0.3">
      <c r="D526" s="123"/>
      <c r="E526" s="15"/>
    </row>
    <row r="527" spans="4:5" x14ac:dyDescent="0.3">
      <c r="D527" s="123"/>
      <c r="E527" s="15"/>
    </row>
    <row r="528" spans="4:5" x14ac:dyDescent="0.3">
      <c r="D528" s="123"/>
      <c r="E528" s="15"/>
    </row>
    <row r="529" spans="4:5" x14ac:dyDescent="0.3">
      <c r="D529" s="123"/>
      <c r="E529" s="15"/>
    </row>
    <row r="530" spans="4:5" x14ac:dyDescent="0.3">
      <c r="D530" s="123"/>
      <c r="E530" s="15"/>
    </row>
    <row r="531" spans="4:5" x14ac:dyDescent="0.3">
      <c r="D531" s="123"/>
      <c r="E531" s="15"/>
    </row>
    <row r="532" spans="4:5" x14ac:dyDescent="0.3">
      <c r="D532" s="123"/>
      <c r="E532" s="15"/>
    </row>
    <row r="533" spans="4:5" x14ac:dyDescent="0.3">
      <c r="D533" s="123"/>
      <c r="E533" s="15"/>
    </row>
    <row r="534" spans="4:5" x14ac:dyDescent="0.3">
      <c r="D534" s="123"/>
      <c r="E534" s="15"/>
    </row>
    <row r="535" spans="4:5" x14ac:dyDescent="0.3">
      <c r="D535" s="123"/>
      <c r="E535" s="15"/>
    </row>
    <row r="536" spans="4:5" x14ac:dyDescent="0.3">
      <c r="D536" s="123"/>
      <c r="E536" s="15"/>
    </row>
    <row r="537" spans="4:5" x14ac:dyDescent="0.3">
      <c r="D537" s="123"/>
      <c r="E537" s="15"/>
    </row>
    <row r="538" spans="4:5" x14ac:dyDescent="0.3">
      <c r="D538" s="123"/>
      <c r="E538" s="15"/>
    </row>
    <row r="539" spans="4:5" x14ac:dyDescent="0.3">
      <c r="D539" s="123"/>
      <c r="E539" s="15"/>
    </row>
    <row r="540" spans="4:5" x14ac:dyDescent="0.3">
      <c r="D540" s="123"/>
      <c r="E540" s="15"/>
    </row>
    <row r="541" spans="4:5" x14ac:dyDescent="0.3">
      <c r="D541" s="123"/>
      <c r="E541" s="15"/>
    </row>
    <row r="542" spans="4:5" x14ac:dyDescent="0.3">
      <c r="D542" s="123"/>
      <c r="E542" s="15"/>
    </row>
    <row r="543" spans="4:5" x14ac:dyDescent="0.3">
      <c r="D543" s="123"/>
      <c r="E543" s="15"/>
    </row>
    <row r="544" spans="4:5" x14ac:dyDescent="0.3">
      <c r="D544" s="123"/>
      <c r="E544" s="15"/>
    </row>
    <row r="545" spans="4:5" x14ac:dyDescent="0.3">
      <c r="D545" s="123"/>
      <c r="E545" s="15"/>
    </row>
    <row r="546" spans="4:5" x14ac:dyDescent="0.3">
      <c r="D546" s="123"/>
      <c r="E546" s="15"/>
    </row>
    <row r="547" spans="4:5" x14ac:dyDescent="0.3">
      <c r="D547" s="123"/>
      <c r="E547" s="15"/>
    </row>
    <row r="548" spans="4:5" x14ac:dyDescent="0.3">
      <c r="D548" s="123"/>
      <c r="E548" s="15"/>
    </row>
    <row r="549" spans="4:5" x14ac:dyDescent="0.3">
      <c r="D549" s="123"/>
      <c r="E549" s="15"/>
    </row>
    <row r="550" spans="4:5" x14ac:dyDescent="0.3">
      <c r="D550" s="123"/>
      <c r="E550" s="15"/>
    </row>
    <row r="551" spans="4:5" x14ac:dyDescent="0.3">
      <c r="D551" s="123"/>
      <c r="E551" s="15"/>
    </row>
    <row r="552" spans="4:5" x14ac:dyDescent="0.3">
      <c r="D552" s="123"/>
      <c r="E552" s="15"/>
    </row>
    <row r="553" spans="4:5" x14ac:dyDescent="0.3">
      <c r="D553" s="123"/>
      <c r="E553" s="15"/>
    </row>
    <row r="554" spans="4:5" x14ac:dyDescent="0.3">
      <c r="D554" s="123"/>
      <c r="E554" s="15"/>
    </row>
    <row r="555" spans="4:5" x14ac:dyDescent="0.3">
      <c r="D555" s="123"/>
      <c r="E555" s="15"/>
    </row>
    <row r="556" spans="4:5" x14ac:dyDescent="0.3">
      <c r="D556" s="123"/>
      <c r="E556" s="15"/>
    </row>
    <row r="557" spans="4:5" x14ac:dyDescent="0.3">
      <c r="D557" s="123"/>
      <c r="E557" s="15"/>
    </row>
    <row r="558" spans="4:5" x14ac:dyDescent="0.3">
      <c r="D558" s="123"/>
      <c r="E558" s="15"/>
    </row>
    <row r="559" spans="4:5" x14ac:dyDescent="0.3">
      <c r="D559" s="123"/>
      <c r="E559" s="15"/>
    </row>
    <row r="560" spans="4:5" x14ac:dyDescent="0.3">
      <c r="D560" s="123"/>
      <c r="E560" s="15"/>
    </row>
    <row r="561" spans="4:5" x14ac:dyDescent="0.3">
      <c r="D561" s="123"/>
      <c r="E561" s="15"/>
    </row>
    <row r="562" spans="4:5" x14ac:dyDescent="0.3">
      <c r="D562" s="123"/>
      <c r="E562" s="15"/>
    </row>
    <row r="563" spans="4:5" x14ac:dyDescent="0.3">
      <c r="D563" s="123"/>
      <c r="E563" s="15"/>
    </row>
    <row r="564" spans="4:5" x14ac:dyDescent="0.3">
      <c r="D564" s="123"/>
      <c r="E564" s="15"/>
    </row>
    <row r="565" spans="4:5" x14ac:dyDescent="0.3">
      <c r="D565" s="123"/>
      <c r="E565" s="15"/>
    </row>
    <row r="566" spans="4:5" x14ac:dyDescent="0.3">
      <c r="D566" s="123"/>
      <c r="E566" s="15"/>
    </row>
    <row r="567" spans="4:5" x14ac:dyDescent="0.3">
      <c r="D567" s="123"/>
      <c r="E567" s="15"/>
    </row>
    <row r="568" spans="4:5" x14ac:dyDescent="0.3">
      <c r="D568" s="123"/>
      <c r="E568" s="15"/>
    </row>
    <row r="569" spans="4:5" x14ac:dyDescent="0.3">
      <c r="D569" s="123"/>
      <c r="E569" s="15"/>
    </row>
    <row r="570" spans="4:5" x14ac:dyDescent="0.3">
      <c r="D570" s="123"/>
      <c r="E570" s="15"/>
    </row>
    <row r="571" spans="4:5" x14ac:dyDescent="0.3">
      <c r="D571" s="123"/>
      <c r="E571" s="15"/>
    </row>
    <row r="572" spans="4:5" x14ac:dyDescent="0.3">
      <c r="D572" s="123"/>
      <c r="E572" s="15"/>
    </row>
    <row r="573" spans="4:5" x14ac:dyDescent="0.3">
      <c r="D573" s="123"/>
      <c r="E573" s="15"/>
    </row>
    <row r="574" spans="4:5" x14ac:dyDescent="0.3">
      <c r="D574" s="123"/>
      <c r="E574" s="15"/>
    </row>
    <row r="575" spans="4:5" x14ac:dyDescent="0.3">
      <c r="D575" s="123"/>
      <c r="E575" s="15"/>
    </row>
    <row r="576" spans="4:5" x14ac:dyDescent="0.3">
      <c r="D576" s="123"/>
      <c r="E576" s="15"/>
    </row>
    <row r="577" spans="4:5" x14ac:dyDescent="0.3">
      <c r="D577" s="123"/>
      <c r="E577" s="15"/>
    </row>
    <row r="578" spans="4:5" x14ac:dyDescent="0.3">
      <c r="D578" s="123"/>
      <c r="E578" s="15"/>
    </row>
    <row r="579" spans="4:5" x14ac:dyDescent="0.3">
      <c r="D579" s="123"/>
      <c r="E579" s="15"/>
    </row>
    <row r="580" spans="4:5" x14ac:dyDescent="0.3">
      <c r="D580" s="123"/>
      <c r="E580" s="15"/>
    </row>
    <row r="581" spans="4:5" x14ac:dyDescent="0.3">
      <c r="D581" s="123"/>
      <c r="E581" s="15"/>
    </row>
    <row r="582" spans="4:5" x14ac:dyDescent="0.3">
      <c r="D582" s="123"/>
      <c r="E582" s="15"/>
    </row>
    <row r="583" spans="4:5" x14ac:dyDescent="0.3">
      <c r="D583" s="123"/>
      <c r="E583" s="15"/>
    </row>
    <row r="584" spans="4:5" x14ac:dyDescent="0.3">
      <c r="D584" s="123"/>
      <c r="E584" s="15"/>
    </row>
    <row r="585" spans="4:5" x14ac:dyDescent="0.3">
      <c r="D585" s="123"/>
      <c r="E585" s="15"/>
    </row>
    <row r="586" spans="4:5" x14ac:dyDescent="0.3">
      <c r="D586" s="123"/>
      <c r="E586" s="15"/>
    </row>
    <row r="587" spans="4:5" x14ac:dyDescent="0.3">
      <c r="D587" s="123"/>
      <c r="E587" s="15"/>
    </row>
    <row r="588" spans="4:5" x14ac:dyDescent="0.3">
      <c r="D588" s="123"/>
      <c r="E588" s="15"/>
    </row>
    <row r="589" spans="4:5" x14ac:dyDescent="0.3">
      <c r="D589" s="123"/>
      <c r="E589" s="15"/>
    </row>
    <row r="590" spans="4:5" x14ac:dyDescent="0.3">
      <c r="D590" s="123"/>
      <c r="E590" s="15"/>
    </row>
    <row r="591" spans="4:5" x14ac:dyDescent="0.3">
      <c r="D591" s="123"/>
      <c r="E591" s="15"/>
    </row>
    <row r="592" spans="4:5" x14ac:dyDescent="0.3">
      <c r="D592" s="123"/>
      <c r="E592" s="15"/>
    </row>
    <row r="593" spans="4:5" x14ac:dyDescent="0.3">
      <c r="D593" s="123"/>
      <c r="E593" s="15"/>
    </row>
    <row r="594" spans="4:5" x14ac:dyDescent="0.3">
      <c r="D594" s="123"/>
      <c r="E594" s="15"/>
    </row>
    <row r="595" spans="4:5" x14ac:dyDescent="0.3">
      <c r="D595" s="123"/>
      <c r="E595" s="15"/>
    </row>
    <row r="596" spans="4:5" x14ac:dyDescent="0.3">
      <c r="D596" s="123"/>
      <c r="E596" s="15"/>
    </row>
    <row r="597" spans="4:5" x14ac:dyDescent="0.3">
      <c r="D597" s="123"/>
      <c r="E597" s="15"/>
    </row>
    <row r="598" spans="4:5" x14ac:dyDescent="0.3">
      <c r="D598" s="123"/>
      <c r="E598" s="15"/>
    </row>
    <row r="599" spans="4:5" x14ac:dyDescent="0.3">
      <c r="D599" s="123"/>
      <c r="E599" s="15"/>
    </row>
    <row r="600" spans="4:5" x14ac:dyDescent="0.3">
      <c r="D600" s="123"/>
      <c r="E600" s="15"/>
    </row>
    <row r="601" spans="4:5" x14ac:dyDescent="0.3">
      <c r="D601" s="123"/>
      <c r="E601" s="15"/>
    </row>
    <row r="602" spans="4:5" x14ac:dyDescent="0.3">
      <c r="D602" s="123"/>
      <c r="E602" s="15"/>
    </row>
    <row r="603" spans="4:5" x14ac:dyDescent="0.3">
      <c r="D603" s="123"/>
      <c r="E603" s="15"/>
    </row>
    <row r="604" spans="4:5" x14ac:dyDescent="0.3">
      <c r="D604" s="123"/>
      <c r="E604" s="15"/>
    </row>
    <row r="605" spans="4:5" x14ac:dyDescent="0.3">
      <c r="D605" s="123"/>
      <c r="E605" s="15"/>
    </row>
    <row r="606" spans="4:5" x14ac:dyDescent="0.3">
      <c r="D606" s="123"/>
      <c r="E606" s="15"/>
    </row>
    <row r="607" spans="4:5" x14ac:dyDescent="0.3">
      <c r="D607" s="123"/>
      <c r="E607" s="15"/>
    </row>
    <row r="608" spans="4:5" x14ac:dyDescent="0.3">
      <c r="D608" s="123"/>
      <c r="E608" s="15"/>
    </row>
    <row r="609" spans="4:5" x14ac:dyDescent="0.3">
      <c r="D609" s="123"/>
      <c r="E609" s="15"/>
    </row>
    <row r="610" spans="4:5" x14ac:dyDescent="0.3">
      <c r="D610" s="123"/>
      <c r="E610" s="15"/>
    </row>
    <row r="611" spans="4:5" x14ac:dyDescent="0.3">
      <c r="D611" s="123"/>
      <c r="E611" s="15"/>
    </row>
    <row r="612" spans="4:5" x14ac:dyDescent="0.3">
      <c r="D612" s="123"/>
      <c r="E612" s="15"/>
    </row>
    <row r="613" spans="4:5" x14ac:dyDescent="0.3">
      <c r="D613" s="123"/>
      <c r="E613" s="15"/>
    </row>
    <row r="614" spans="4:5" x14ac:dyDescent="0.3">
      <c r="D614" s="123"/>
      <c r="E614" s="15"/>
    </row>
    <row r="615" spans="4:5" x14ac:dyDescent="0.3">
      <c r="D615" s="123"/>
      <c r="E615" s="15"/>
    </row>
    <row r="616" spans="4:5" x14ac:dyDescent="0.3">
      <c r="D616" s="123"/>
      <c r="E616" s="15"/>
    </row>
    <row r="617" spans="4:5" x14ac:dyDescent="0.3">
      <c r="D617" s="123"/>
      <c r="E617" s="15"/>
    </row>
    <row r="618" spans="4:5" x14ac:dyDescent="0.3">
      <c r="D618" s="123"/>
      <c r="E618" s="15"/>
    </row>
    <row r="619" spans="4:5" x14ac:dyDescent="0.3">
      <c r="D619" s="123"/>
      <c r="E619" s="15"/>
    </row>
    <row r="620" spans="4:5" x14ac:dyDescent="0.3">
      <c r="D620" s="123"/>
      <c r="E620" s="15"/>
    </row>
    <row r="621" spans="4:5" x14ac:dyDescent="0.3">
      <c r="D621" s="123"/>
      <c r="E621" s="15"/>
    </row>
    <row r="622" spans="4:5" x14ac:dyDescent="0.3">
      <c r="D622" s="123"/>
      <c r="E622" s="15"/>
    </row>
    <row r="623" spans="4:5" x14ac:dyDescent="0.3">
      <c r="D623" s="123"/>
      <c r="E623" s="15"/>
    </row>
    <row r="624" spans="4:5" x14ac:dyDescent="0.3">
      <c r="D624" s="123"/>
      <c r="E624" s="15"/>
    </row>
    <row r="625" spans="4:5" x14ac:dyDescent="0.3">
      <c r="D625" s="123"/>
      <c r="E625" s="15"/>
    </row>
    <row r="626" spans="4:5" x14ac:dyDescent="0.3">
      <c r="D626" s="123"/>
      <c r="E626" s="15"/>
    </row>
    <row r="627" spans="4:5" x14ac:dyDescent="0.3">
      <c r="D627" s="123"/>
      <c r="E627" s="15"/>
    </row>
    <row r="628" spans="4:5" x14ac:dyDescent="0.3">
      <c r="D628" s="123"/>
      <c r="E628" s="15"/>
    </row>
    <row r="629" spans="4:5" x14ac:dyDescent="0.3">
      <c r="D629" s="123"/>
      <c r="E629" s="15"/>
    </row>
    <row r="630" spans="4:5" x14ac:dyDescent="0.3">
      <c r="D630" s="123"/>
      <c r="E630" s="15"/>
    </row>
    <row r="631" spans="4:5" x14ac:dyDescent="0.3">
      <c r="D631" s="123"/>
      <c r="E631" s="15"/>
    </row>
    <row r="632" spans="4:5" x14ac:dyDescent="0.3">
      <c r="D632" s="123"/>
      <c r="E632" s="15"/>
    </row>
    <row r="633" spans="4:5" x14ac:dyDescent="0.3">
      <c r="D633" s="123"/>
      <c r="E633" s="15"/>
    </row>
    <row r="634" spans="4:5" x14ac:dyDescent="0.3">
      <c r="D634" s="123"/>
      <c r="E634" s="15"/>
    </row>
    <row r="635" spans="4:5" x14ac:dyDescent="0.3">
      <c r="D635" s="123"/>
      <c r="E635" s="15"/>
    </row>
    <row r="636" spans="4:5" x14ac:dyDescent="0.3">
      <c r="D636" s="123"/>
      <c r="E636" s="15"/>
    </row>
    <row r="637" spans="4:5" x14ac:dyDescent="0.3">
      <c r="D637" s="123"/>
      <c r="E637" s="15"/>
    </row>
    <row r="638" spans="4:5" x14ac:dyDescent="0.3">
      <c r="D638" s="123"/>
      <c r="E638" s="15"/>
    </row>
    <row r="639" spans="4:5" x14ac:dyDescent="0.3">
      <c r="D639" s="123"/>
      <c r="E639" s="15"/>
    </row>
    <row r="640" spans="4:5" x14ac:dyDescent="0.3">
      <c r="D640" s="123"/>
      <c r="E640" s="15"/>
    </row>
    <row r="641" spans="4:5" x14ac:dyDescent="0.3">
      <c r="D641" s="123"/>
      <c r="E641" s="15"/>
    </row>
    <row r="642" spans="4:5" x14ac:dyDescent="0.3">
      <c r="D642" s="123"/>
      <c r="E642" s="15"/>
    </row>
    <row r="643" spans="4:5" x14ac:dyDescent="0.3">
      <c r="D643" s="123"/>
      <c r="E643" s="15"/>
    </row>
    <row r="644" spans="4:5" x14ac:dyDescent="0.3">
      <c r="D644" s="123"/>
      <c r="E644" s="15"/>
    </row>
    <row r="645" spans="4:5" x14ac:dyDescent="0.3">
      <c r="D645" s="123"/>
      <c r="E645" s="15"/>
    </row>
    <row r="646" spans="4:5" x14ac:dyDescent="0.3">
      <c r="D646" s="123"/>
      <c r="E646" s="15"/>
    </row>
    <row r="647" spans="4:5" x14ac:dyDescent="0.3">
      <c r="D647" s="123"/>
      <c r="E647" s="15"/>
    </row>
    <row r="648" spans="4:5" x14ac:dyDescent="0.3">
      <c r="D648" s="123"/>
      <c r="E648" s="15"/>
    </row>
    <row r="649" spans="4:5" x14ac:dyDescent="0.3">
      <c r="D649" s="123"/>
      <c r="E649" s="15"/>
    </row>
    <row r="650" spans="4:5" x14ac:dyDescent="0.3">
      <c r="D650" s="123"/>
      <c r="E650" s="15"/>
    </row>
    <row r="651" spans="4:5" x14ac:dyDescent="0.3">
      <c r="D651" s="123"/>
      <c r="E651" s="15"/>
    </row>
    <row r="652" spans="4:5" x14ac:dyDescent="0.3">
      <c r="D652" s="123"/>
      <c r="E652" s="15"/>
    </row>
    <row r="653" spans="4:5" x14ac:dyDescent="0.3">
      <c r="D653" s="123"/>
      <c r="E653" s="15"/>
    </row>
    <row r="654" spans="4:5" x14ac:dyDescent="0.3">
      <c r="D654" s="123"/>
      <c r="E654" s="15"/>
    </row>
    <row r="655" spans="4:5" x14ac:dyDescent="0.3">
      <c r="D655" s="123"/>
      <c r="E655" s="15"/>
    </row>
    <row r="656" spans="4:5" x14ac:dyDescent="0.3">
      <c r="D656" s="123"/>
      <c r="E656" s="15"/>
    </row>
    <row r="657" spans="4:5" x14ac:dyDescent="0.3">
      <c r="D657" s="123"/>
      <c r="E657" s="15"/>
    </row>
    <row r="658" spans="4:5" x14ac:dyDescent="0.3">
      <c r="D658" s="123"/>
      <c r="E658" s="15"/>
    </row>
    <row r="659" spans="4:5" x14ac:dyDescent="0.3">
      <c r="D659" s="123"/>
      <c r="E659" s="15"/>
    </row>
    <row r="660" spans="4:5" x14ac:dyDescent="0.3">
      <c r="D660" s="123"/>
      <c r="E660" s="15"/>
    </row>
    <row r="661" spans="4:5" x14ac:dyDescent="0.3">
      <c r="D661" s="123"/>
      <c r="E661" s="15"/>
    </row>
    <row r="662" spans="4:5" x14ac:dyDescent="0.3">
      <c r="D662" s="123"/>
      <c r="E662" s="15"/>
    </row>
    <row r="663" spans="4:5" x14ac:dyDescent="0.3">
      <c r="D663" s="123"/>
      <c r="E663" s="15"/>
    </row>
    <row r="664" spans="4:5" x14ac:dyDescent="0.3">
      <c r="D664" s="123"/>
      <c r="E664" s="15"/>
    </row>
    <row r="665" spans="4:5" x14ac:dyDescent="0.3">
      <c r="D665" s="123"/>
      <c r="E665" s="15"/>
    </row>
    <row r="666" spans="4:5" x14ac:dyDescent="0.3">
      <c r="D666" s="123"/>
      <c r="E666" s="15"/>
    </row>
    <row r="667" spans="4:5" x14ac:dyDescent="0.3">
      <c r="D667" s="123"/>
      <c r="E667" s="15"/>
    </row>
    <row r="668" spans="4:5" x14ac:dyDescent="0.3">
      <c r="D668" s="123"/>
      <c r="E668" s="15"/>
    </row>
    <row r="669" spans="4:5" x14ac:dyDescent="0.3">
      <c r="D669" s="123"/>
      <c r="E669" s="15"/>
    </row>
    <row r="670" spans="4:5" x14ac:dyDescent="0.3">
      <c r="D670" s="123"/>
      <c r="E670" s="15"/>
    </row>
    <row r="671" spans="4:5" x14ac:dyDescent="0.3">
      <c r="D671" s="123"/>
      <c r="E671" s="15"/>
    </row>
    <row r="672" spans="4:5" x14ac:dyDescent="0.3">
      <c r="D672" s="123"/>
      <c r="E672" s="15"/>
    </row>
    <row r="673" spans="4:5" x14ac:dyDescent="0.3">
      <c r="D673" s="123"/>
      <c r="E673" s="15"/>
    </row>
    <row r="674" spans="4:5" x14ac:dyDescent="0.3">
      <c r="D674" s="123"/>
      <c r="E674" s="15"/>
    </row>
    <row r="675" spans="4:5" x14ac:dyDescent="0.3">
      <c r="D675" s="123"/>
      <c r="E675" s="15"/>
    </row>
    <row r="676" spans="4:5" x14ac:dyDescent="0.3">
      <c r="D676" s="123"/>
      <c r="E676" s="15"/>
    </row>
    <row r="677" spans="4:5" x14ac:dyDescent="0.3">
      <c r="D677" s="123"/>
      <c r="E677" s="15"/>
    </row>
    <row r="678" spans="4:5" x14ac:dyDescent="0.3">
      <c r="D678" s="123"/>
      <c r="E678" s="15"/>
    </row>
    <row r="679" spans="4:5" x14ac:dyDescent="0.3">
      <c r="D679" s="123"/>
      <c r="E679" s="15"/>
    </row>
    <row r="680" spans="4:5" x14ac:dyDescent="0.3">
      <c r="D680" s="123"/>
      <c r="E680" s="15"/>
    </row>
    <row r="681" spans="4:5" x14ac:dyDescent="0.3">
      <c r="D681" s="123"/>
      <c r="E681" s="15"/>
    </row>
    <row r="682" spans="4:5" x14ac:dyDescent="0.3">
      <c r="D682" s="123"/>
      <c r="E682" s="15"/>
    </row>
    <row r="683" spans="4:5" x14ac:dyDescent="0.3">
      <c r="D683" s="123"/>
      <c r="E683" s="15"/>
    </row>
    <row r="684" spans="4:5" x14ac:dyDescent="0.3">
      <c r="D684" s="123"/>
      <c r="E684" s="15"/>
    </row>
    <row r="685" spans="4:5" x14ac:dyDescent="0.3">
      <c r="D685" s="123"/>
      <c r="E685" s="15"/>
    </row>
    <row r="686" spans="4:5" x14ac:dyDescent="0.3">
      <c r="D686" s="123"/>
      <c r="E686" s="15"/>
    </row>
    <row r="687" spans="4:5" x14ac:dyDescent="0.3">
      <c r="D687" s="123"/>
      <c r="E687" s="15"/>
    </row>
    <row r="688" spans="4:5" x14ac:dyDescent="0.3">
      <c r="D688" s="123"/>
      <c r="E688" s="15"/>
    </row>
    <row r="689" spans="4:5" x14ac:dyDescent="0.3">
      <c r="D689" s="123"/>
      <c r="E689" s="15"/>
    </row>
    <row r="690" spans="4:5" x14ac:dyDescent="0.3">
      <c r="D690" s="123"/>
      <c r="E690" s="15"/>
    </row>
    <row r="691" spans="4:5" x14ac:dyDescent="0.3">
      <c r="D691" s="123"/>
      <c r="E691" s="15"/>
    </row>
    <row r="692" spans="4:5" x14ac:dyDescent="0.3">
      <c r="D692" s="123"/>
      <c r="E692" s="15"/>
    </row>
    <row r="693" spans="4:5" x14ac:dyDescent="0.3">
      <c r="D693" s="123"/>
      <c r="E693" s="15"/>
    </row>
    <row r="694" spans="4:5" x14ac:dyDescent="0.3">
      <c r="D694" s="123"/>
      <c r="E694" s="15"/>
    </row>
    <row r="695" spans="4:5" x14ac:dyDescent="0.3">
      <c r="D695" s="123"/>
      <c r="E695" s="15"/>
    </row>
    <row r="696" spans="4:5" x14ac:dyDescent="0.3">
      <c r="D696" s="123"/>
      <c r="E696" s="15"/>
    </row>
    <row r="697" spans="4:5" x14ac:dyDescent="0.3">
      <c r="D697" s="123"/>
      <c r="E697" s="15"/>
    </row>
    <row r="698" spans="4:5" x14ac:dyDescent="0.3">
      <c r="D698" s="123"/>
      <c r="E698" s="15"/>
    </row>
    <row r="699" spans="4:5" x14ac:dyDescent="0.3">
      <c r="D699" s="123"/>
      <c r="E699" s="15"/>
    </row>
    <row r="700" spans="4:5" x14ac:dyDescent="0.3">
      <c r="D700" s="123"/>
      <c r="E700" s="15"/>
    </row>
    <row r="701" spans="4:5" x14ac:dyDescent="0.3">
      <c r="D701" s="123"/>
      <c r="E701" s="15"/>
    </row>
    <row r="702" spans="4:5" x14ac:dyDescent="0.3">
      <c r="D702" s="123"/>
      <c r="E702" s="15"/>
    </row>
    <row r="703" spans="4:5" x14ac:dyDescent="0.3">
      <c r="D703" s="123"/>
      <c r="E703" s="15"/>
    </row>
    <row r="704" spans="4:5" x14ac:dyDescent="0.3">
      <c r="D704" s="123"/>
      <c r="E704" s="15"/>
    </row>
    <row r="705" spans="4:5" x14ac:dyDescent="0.3">
      <c r="D705" s="123"/>
      <c r="E705" s="15"/>
    </row>
    <row r="706" spans="4:5" x14ac:dyDescent="0.3">
      <c r="D706" s="123"/>
      <c r="E706" s="15"/>
    </row>
    <row r="707" spans="4:5" x14ac:dyDescent="0.3">
      <c r="D707" s="123"/>
      <c r="E707" s="15"/>
    </row>
    <row r="708" spans="4:5" x14ac:dyDescent="0.3">
      <c r="D708" s="123"/>
      <c r="E708" s="15"/>
    </row>
    <row r="709" spans="4:5" x14ac:dyDescent="0.3">
      <c r="D709" s="123"/>
      <c r="E709" s="15"/>
    </row>
    <row r="710" spans="4:5" x14ac:dyDescent="0.3">
      <c r="D710" s="123"/>
      <c r="E710" s="15"/>
    </row>
    <row r="711" spans="4:5" x14ac:dyDescent="0.3">
      <c r="D711" s="123"/>
      <c r="E711" s="15"/>
    </row>
    <row r="712" spans="4:5" x14ac:dyDescent="0.3">
      <c r="D712" s="123"/>
      <c r="E712" s="15"/>
    </row>
    <row r="713" spans="4:5" x14ac:dyDescent="0.3">
      <c r="D713" s="123"/>
      <c r="E713" s="15"/>
    </row>
    <row r="714" spans="4:5" x14ac:dyDescent="0.3">
      <c r="D714" s="123"/>
      <c r="E714" s="15"/>
    </row>
    <row r="715" spans="4:5" x14ac:dyDescent="0.3">
      <c r="D715" s="123"/>
      <c r="E715" s="15"/>
    </row>
    <row r="716" spans="4:5" x14ac:dyDescent="0.3">
      <c r="D716" s="123"/>
      <c r="E716" s="15"/>
    </row>
    <row r="717" spans="4:5" x14ac:dyDescent="0.3">
      <c r="D717" s="123"/>
      <c r="E717" s="15"/>
    </row>
    <row r="718" spans="4:5" x14ac:dyDescent="0.3">
      <c r="D718" s="123"/>
      <c r="E718" s="15"/>
    </row>
    <row r="719" spans="4:5" x14ac:dyDescent="0.3">
      <c r="D719" s="123"/>
      <c r="E719" s="15"/>
    </row>
    <row r="720" spans="4:5" x14ac:dyDescent="0.3">
      <c r="D720" s="123"/>
      <c r="E720" s="15"/>
    </row>
    <row r="721" spans="4:5" x14ac:dyDescent="0.3">
      <c r="D721" s="123"/>
      <c r="E721" s="15"/>
    </row>
    <row r="722" spans="4:5" x14ac:dyDescent="0.3">
      <c r="D722" s="123"/>
      <c r="E722" s="15"/>
    </row>
    <row r="723" spans="4:5" x14ac:dyDescent="0.3">
      <c r="D723" s="123"/>
      <c r="E723" s="15"/>
    </row>
    <row r="724" spans="4:5" x14ac:dyDescent="0.3">
      <c r="D724" s="123"/>
      <c r="E724" s="15"/>
    </row>
    <row r="725" spans="4:5" x14ac:dyDescent="0.3">
      <c r="D725" s="123"/>
      <c r="E725" s="15"/>
    </row>
    <row r="726" spans="4:5" x14ac:dyDescent="0.3">
      <c r="D726" s="123"/>
      <c r="E726" s="15"/>
    </row>
    <row r="727" spans="4:5" x14ac:dyDescent="0.3">
      <c r="D727" s="123"/>
      <c r="E727" s="15"/>
    </row>
    <row r="728" spans="4:5" x14ac:dyDescent="0.3">
      <c r="D728" s="123"/>
      <c r="E728" s="15"/>
    </row>
    <row r="729" spans="4:5" x14ac:dyDescent="0.3">
      <c r="D729" s="123"/>
      <c r="E729" s="15"/>
    </row>
    <row r="730" spans="4:5" x14ac:dyDescent="0.3">
      <c r="D730" s="123"/>
      <c r="E730" s="15"/>
    </row>
    <row r="731" spans="4:5" x14ac:dyDescent="0.3">
      <c r="D731" s="123"/>
      <c r="E731" s="15"/>
    </row>
    <row r="732" spans="4:5" x14ac:dyDescent="0.3">
      <c r="D732" s="123"/>
      <c r="E732" s="15"/>
    </row>
    <row r="733" spans="4:5" x14ac:dyDescent="0.3">
      <c r="D733" s="123"/>
      <c r="E733" s="15"/>
    </row>
    <row r="734" spans="4:5" x14ac:dyDescent="0.3">
      <c r="D734" s="123"/>
      <c r="E734" s="15"/>
    </row>
    <row r="735" spans="4:5" x14ac:dyDescent="0.3">
      <c r="D735" s="123"/>
      <c r="E735" s="15"/>
    </row>
    <row r="736" spans="4:5" x14ac:dyDescent="0.3">
      <c r="D736" s="123"/>
      <c r="E736" s="15"/>
    </row>
    <row r="737" spans="4:5" x14ac:dyDescent="0.3">
      <c r="D737" s="123"/>
      <c r="E737" s="15"/>
    </row>
    <row r="738" spans="4:5" x14ac:dyDescent="0.3">
      <c r="D738" s="123"/>
      <c r="E738" s="15"/>
    </row>
    <row r="739" spans="4:5" x14ac:dyDescent="0.3">
      <c r="D739" s="123"/>
      <c r="E739" s="15"/>
    </row>
    <row r="740" spans="4:5" x14ac:dyDescent="0.3">
      <c r="D740" s="123"/>
      <c r="E740" s="15"/>
    </row>
    <row r="741" spans="4:5" x14ac:dyDescent="0.3">
      <c r="D741" s="123"/>
      <c r="E741" s="15"/>
    </row>
    <row r="742" spans="4:5" x14ac:dyDescent="0.3">
      <c r="D742" s="123"/>
      <c r="E742" s="15"/>
    </row>
    <row r="743" spans="4:5" x14ac:dyDescent="0.3">
      <c r="D743" s="123"/>
      <c r="E743" s="15"/>
    </row>
    <row r="744" spans="4:5" x14ac:dyDescent="0.3">
      <c r="D744" s="123"/>
      <c r="E744" s="15"/>
    </row>
    <row r="745" spans="4:5" x14ac:dyDescent="0.3">
      <c r="D745" s="123"/>
      <c r="E745" s="15"/>
    </row>
    <row r="746" spans="4:5" x14ac:dyDescent="0.3">
      <c r="D746" s="123"/>
      <c r="E746" s="15"/>
    </row>
    <row r="747" spans="4:5" x14ac:dyDescent="0.3">
      <c r="D747" s="123"/>
      <c r="E747" s="15"/>
    </row>
    <row r="748" spans="4:5" x14ac:dyDescent="0.3">
      <c r="D748" s="123"/>
      <c r="E748" s="15"/>
    </row>
    <row r="749" spans="4:5" x14ac:dyDescent="0.3">
      <c r="D749" s="123"/>
      <c r="E749" s="15"/>
    </row>
    <row r="750" spans="4:5" x14ac:dyDescent="0.3">
      <c r="D750" s="123"/>
      <c r="E750" s="15"/>
    </row>
    <row r="751" spans="4:5" x14ac:dyDescent="0.3">
      <c r="D751" s="123"/>
      <c r="E751" s="15"/>
    </row>
    <row r="752" spans="4:5" x14ac:dyDescent="0.3">
      <c r="D752" s="123"/>
      <c r="E752" s="15"/>
    </row>
    <row r="753" spans="4:5" x14ac:dyDescent="0.3">
      <c r="D753" s="123"/>
      <c r="E753" s="15"/>
    </row>
    <row r="754" spans="4:5" x14ac:dyDescent="0.3">
      <c r="D754" s="123"/>
      <c r="E754" s="15"/>
    </row>
    <row r="755" spans="4:5" x14ac:dyDescent="0.3">
      <c r="D755" s="123"/>
      <c r="E755" s="15"/>
    </row>
    <row r="756" spans="4:5" x14ac:dyDescent="0.3">
      <c r="D756" s="123"/>
      <c r="E756" s="15"/>
    </row>
    <row r="757" spans="4:5" x14ac:dyDescent="0.3">
      <c r="D757" s="123"/>
      <c r="E757" s="15"/>
    </row>
    <row r="758" spans="4:5" x14ac:dyDescent="0.3">
      <c r="D758" s="123"/>
      <c r="E758" s="15"/>
    </row>
    <row r="759" spans="4:5" x14ac:dyDescent="0.3">
      <c r="D759" s="123"/>
      <c r="E759" s="15"/>
    </row>
    <row r="760" spans="4:5" x14ac:dyDescent="0.3">
      <c r="D760" s="123"/>
      <c r="E760" s="15"/>
    </row>
    <row r="761" spans="4:5" x14ac:dyDescent="0.3">
      <c r="D761" s="123"/>
      <c r="E761" s="15"/>
    </row>
    <row r="762" spans="4:5" x14ac:dyDescent="0.3">
      <c r="D762" s="123"/>
      <c r="E762" s="15"/>
    </row>
    <row r="763" spans="4:5" x14ac:dyDescent="0.3">
      <c r="D763" s="123"/>
      <c r="E763" s="15"/>
    </row>
    <row r="764" spans="4:5" x14ac:dyDescent="0.3">
      <c r="D764" s="123"/>
      <c r="E764" s="15"/>
    </row>
    <row r="765" spans="4:5" x14ac:dyDescent="0.3">
      <c r="D765" s="123"/>
      <c r="E765" s="15"/>
    </row>
    <row r="766" spans="4:5" x14ac:dyDescent="0.3">
      <c r="D766" s="123"/>
      <c r="E766" s="15"/>
    </row>
    <row r="767" spans="4:5" x14ac:dyDescent="0.3">
      <c r="D767" s="123"/>
      <c r="E767" s="15"/>
    </row>
    <row r="768" spans="4:5" x14ac:dyDescent="0.3">
      <c r="D768" s="123"/>
      <c r="E768" s="15"/>
    </row>
    <row r="769" spans="4:5" x14ac:dyDescent="0.3">
      <c r="D769" s="123"/>
      <c r="E769" s="15"/>
    </row>
    <row r="770" spans="4:5" x14ac:dyDescent="0.3">
      <c r="D770" s="123"/>
      <c r="E770" s="15"/>
    </row>
    <row r="771" spans="4:5" x14ac:dyDescent="0.3">
      <c r="D771" s="123"/>
      <c r="E771" s="15"/>
    </row>
    <row r="772" spans="4:5" x14ac:dyDescent="0.3">
      <c r="D772" s="123"/>
      <c r="E772" s="15"/>
    </row>
    <row r="773" spans="4:5" x14ac:dyDescent="0.3">
      <c r="D773" s="123"/>
      <c r="E773" s="15"/>
    </row>
    <row r="774" spans="4:5" x14ac:dyDescent="0.3">
      <c r="D774" s="123"/>
      <c r="E774" s="15"/>
    </row>
    <row r="775" spans="4:5" x14ac:dyDescent="0.3">
      <c r="D775" s="123"/>
      <c r="E775" s="15"/>
    </row>
    <row r="776" spans="4:5" x14ac:dyDescent="0.3">
      <c r="D776" s="123"/>
      <c r="E776" s="15"/>
    </row>
    <row r="777" spans="4:5" x14ac:dyDescent="0.3">
      <c r="D777" s="123"/>
      <c r="E777" s="15"/>
    </row>
    <row r="778" spans="4:5" x14ac:dyDescent="0.3">
      <c r="D778" s="123"/>
      <c r="E778" s="15"/>
    </row>
    <row r="779" spans="4:5" x14ac:dyDescent="0.3">
      <c r="D779" s="123"/>
      <c r="E779" s="15"/>
    </row>
    <row r="780" spans="4:5" x14ac:dyDescent="0.3">
      <c r="D780" s="123"/>
      <c r="E780" s="15"/>
    </row>
    <row r="781" spans="4:5" x14ac:dyDescent="0.3">
      <c r="D781" s="123"/>
      <c r="E781" s="15"/>
    </row>
    <row r="782" spans="4:5" x14ac:dyDescent="0.3">
      <c r="D782" s="123"/>
      <c r="E782" s="15"/>
    </row>
    <row r="783" spans="4:5" x14ac:dyDescent="0.3">
      <c r="D783" s="123"/>
      <c r="E783" s="15"/>
    </row>
    <row r="784" spans="4:5" x14ac:dyDescent="0.3">
      <c r="D784" s="123"/>
      <c r="E784" s="15"/>
    </row>
    <row r="785" spans="4:5" x14ac:dyDescent="0.3">
      <c r="D785" s="123"/>
      <c r="E785" s="15"/>
    </row>
    <row r="786" spans="4:5" x14ac:dyDescent="0.3">
      <c r="D786" s="123"/>
      <c r="E786" s="15"/>
    </row>
    <row r="787" spans="4:5" x14ac:dyDescent="0.3">
      <c r="D787" s="123"/>
      <c r="E787" s="15"/>
    </row>
    <row r="788" spans="4:5" x14ac:dyDescent="0.3">
      <c r="D788" s="123"/>
      <c r="E788" s="15"/>
    </row>
    <row r="789" spans="4:5" x14ac:dyDescent="0.3">
      <c r="D789" s="123"/>
      <c r="E789" s="15"/>
    </row>
    <row r="790" spans="4:5" x14ac:dyDescent="0.3">
      <c r="D790" s="123"/>
      <c r="E790" s="15"/>
    </row>
    <row r="791" spans="4:5" x14ac:dyDescent="0.3">
      <c r="D791" s="123"/>
      <c r="E791" s="15"/>
    </row>
    <row r="792" spans="4:5" x14ac:dyDescent="0.3">
      <c r="D792" s="123"/>
      <c r="E792" s="15"/>
    </row>
    <row r="793" spans="4:5" x14ac:dyDescent="0.3">
      <c r="D793" s="123"/>
      <c r="E793" s="15"/>
    </row>
    <row r="794" spans="4:5" x14ac:dyDescent="0.3">
      <c r="D794" s="123"/>
      <c r="E794" s="15"/>
    </row>
    <row r="795" spans="4:5" x14ac:dyDescent="0.3">
      <c r="D795" s="123"/>
      <c r="E795" s="15"/>
    </row>
    <row r="796" spans="4:5" x14ac:dyDescent="0.3">
      <c r="D796" s="123"/>
      <c r="E796" s="15"/>
    </row>
    <row r="797" spans="4:5" x14ac:dyDescent="0.3">
      <c r="D797" s="123"/>
      <c r="E797" s="15"/>
    </row>
    <row r="798" spans="4:5" x14ac:dyDescent="0.3">
      <c r="D798" s="123"/>
      <c r="E798" s="15"/>
    </row>
    <row r="799" spans="4:5" x14ac:dyDescent="0.3">
      <c r="D799" s="123"/>
      <c r="E799" s="15"/>
    </row>
    <row r="800" spans="4:5" x14ac:dyDescent="0.3">
      <c r="D800" s="123"/>
      <c r="E800" s="15"/>
    </row>
    <row r="801" spans="4:5" x14ac:dyDescent="0.3">
      <c r="D801" s="123"/>
      <c r="E801" s="15"/>
    </row>
    <row r="802" spans="4:5" x14ac:dyDescent="0.3">
      <c r="D802" s="123"/>
      <c r="E802" s="15"/>
    </row>
    <row r="803" spans="4:5" x14ac:dyDescent="0.3">
      <c r="D803" s="123"/>
      <c r="E803" s="15"/>
    </row>
    <row r="804" spans="4:5" x14ac:dyDescent="0.3">
      <c r="D804" s="123"/>
      <c r="E804" s="15"/>
    </row>
    <row r="805" spans="4:5" x14ac:dyDescent="0.3">
      <c r="D805" s="123"/>
      <c r="E805" s="15"/>
    </row>
    <row r="806" spans="4:5" x14ac:dyDescent="0.3">
      <c r="D806" s="123"/>
      <c r="E806" s="15"/>
    </row>
    <row r="807" spans="4:5" x14ac:dyDescent="0.3">
      <c r="D807" s="123"/>
      <c r="E807" s="15"/>
    </row>
    <row r="808" spans="4:5" x14ac:dyDescent="0.3">
      <c r="D808" s="123"/>
      <c r="E808" s="15"/>
    </row>
    <row r="809" spans="4:5" x14ac:dyDescent="0.3">
      <c r="D809" s="123"/>
      <c r="E809" s="15"/>
    </row>
    <row r="810" spans="4:5" x14ac:dyDescent="0.3">
      <c r="D810" s="123"/>
      <c r="E810" s="15"/>
    </row>
    <row r="811" spans="4:5" x14ac:dyDescent="0.3">
      <c r="D811" s="123"/>
      <c r="E811" s="15"/>
    </row>
    <row r="812" spans="4:5" x14ac:dyDescent="0.3">
      <c r="D812" s="123"/>
      <c r="E812" s="15"/>
    </row>
    <row r="813" spans="4:5" x14ac:dyDescent="0.3">
      <c r="D813" s="123"/>
      <c r="E813" s="15"/>
    </row>
    <row r="814" spans="4:5" x14ac:dyDescent="0.3">
      <c r="D814" s="123"/>
      <c r="E814" s="15"/>
    </row>
    <row r="815" spans="4:5" x14ac:dyDescent="0.3">
      <c r="D815" s="123"/>
      <c r="E815" s="15"/>
    </row>
    <row r="816" spans="4:5" x14ac:dyDescent="0.3">
      <c r="D816" s="123"/>
      <c r="E816" s="15"/>
    </row>
    <row r="817" spans="4:5" x14ac:dyDescent="0.3">
      <c r="D817" s="123"/>
      <c r="E817" s="15"/>
    </row>
    <row r="818" spans="4:5" x14ac:dyDescent="0.3">
      <c r="D818" s="123"/>
      <c r="E818" s="15"/>
    </row>
    <row r="819" spans="4:5" x14ac:dyDescent="0.3">
      <c r="D819" s="123"/>
      <c r="E819" s="15"/>
    </row>
    <row r="820" spans="4:5" x14ac:dyDescent="0.3">
      <c r="D820" s="123"/>
      <c r="E820" s="15"/>
    </row>
    <row r="821" spans="4:5" x14ac:dyDescent="0.3">
      <c r="D821" s="123"/>
      <c r="E821" s="15"/>
    </row>
    <row r="822" spans="4:5" x14ac:dyDescent="0.3">
      <c r="D822" s="123"/>
      <c r="E822" s="15"/>
    </row>
    <row r="823" spans="4:5" x14ac:dyDescent="0.3">
      <c r="D823" s="123"/>
      <c r="E823" s="15"/>
    </row>
    <row r="824" spans="4:5" x14ac:dyDescent="0.3">
      <c r="D824" s="123"/>
      <c r="E824" s="15"/>
    </row>
    <row r="825" spans="4:5" x14ac:dyDescent="0.3">
      <c r="D825" s="123"/>
      <c r="E825" s="15"/>
    </row>
    <row r="826" spans="4:5" x14ac:dyDescent="0.3">
      <c r="D826" s="123"/>
      <c r="E826" s="15"/>
    </row>
    <row r="827" spans="4:5" x14ac:dyDescent="0.3">
      <c r="D827" s="123"/>
      <c r="E827" s="15"/>
    </row>
    <row r="828" spans="4:5" x14ac:dyDescent="0.3">
      <c r="D828" s="123"/>
      <c r="E828" s="15"/>
    </row>
    <row r="829" spans="4:5" x14ac:dyDescent="0.3">
      <c r="D829" s="123"/>
      <c r="E829" s="15"/>
    </row>
    <row r="830" spans="4:5" x14ac:dyDescent="0.3">
      <c r="D830" s="123"/>
      <c r="E830" s="15"/>
    </row>
    <row r="831" spans="4:5" x14ac:dyDescent="0.3">
      <c r="D831" s="123"/>
      <c r="E831" s="15"/>
    </row>
    <row r="832" spans="4:5" x14ac:dyDescent="0.3">
      <c r="D832" s="123"/>
      <c r="E832" s="15"/>
    </row>
    <row r="833" spans="4:5" x14ac:dyDescent="0.3">
      <c r="D833" s="123"/>
      <c r="E833" s="15"/>
    </row>
    <row r="834" spans="4:5" x14ac:dyDescent="0.3">
      <c r="D834" s="123"/>
      <c r="E834" s="15"/>
    </row>
    <row r="835" spans="4:5" x14ac:dyDescent="0.3">
      <c r="D835" s="123"/>
      <c r="E835" s="15"/>
    </row>
    <row r="836" spans="4:5" x14ac:dyDescent="0.3">
      <c r="D836" s="123"/>
      <c r="E836" s="15"/>
    </row>
    <row r="837" spans="4:5" x14ac:dyDescent="0.3">
      <c r="D837" s="123"/>
      <c r="E837" s="15"/>
    </row>
    <row r="838" spans="4:5" x14ac:dyDescent="0.3">
      <c r="D838" s="123"/>
      <c r="E838" s="15"/>
    </row>
    <row r="839" spans="4:5" x14ac:dyDescent="0.3">
      <c r="D839" s="123"/>
      <c r="E839" s="15"/>
    </row>
    <row r="840" spans="4:5" x14ac:dyDescent="0.3">
      <c r="D840" s="123"/>
      <c r="E840" s="15"/>
    </row>
    <row r="841" spans="4:5" x14ac:dyDescent="0.3">
      <c r="D841" s="123"/>
      <c r="E841" s="15"/>
    </row>
    <row r="842" spans="4:5" x14ac:dyDescent="0.3">
      <c r="D842" s="123"/>
      <c r="E842" s="15"/>
    </row>
    <row r="843" spans="4:5" x14ac:dyDescent="0.3">
      <c r="D843" s="123"/>
      <c r="E843" s="15"/>
    </row>
    <row r="844" spans="4:5" x14ac:dyDescent="0.3">
      <c r="D844" s="123"/>
      <c r="E844" s="15"/>
    </row>
    <row r="845" spans="4:5" x14ac:dyDescent="0.3">
      <c r="D845" s="123"/>
      <c r="E845" s="15"/>
    </row>
    <row r="846" spans="4:5" x14ac:dyDescent="0.3">
      <c r="D846" s="123"/>
      <c r="E846" s="15"/>
    </row>
    <row r="847" spans="4:5" x14ac:dyDescent="0.3">
      <c r="D847" s="123"/>
      <c r="E847" s="15"/>
    </row>
    <row r="848" spans="4:5" x14ac:dyDescent="0.3">
      <c r="D848" s="123"/>
      <c r="E848" s="15"/>
    </row>
    <row r="849" spans="4:5" x14ac:dyDescent="0.3">
      <c r="D849" s="123"/>
      <c r="E849" s="15"/>
    </row>
    <row r="850" spans="4:5" x14ac:dyDescent="0.3">
      <c r="D850" s="123"/>
      <c r="E850" s="15"/>
    </row>
    <row r="851" spans="4:5" x14ac:dyDescent="0.3">
      <c r="D851" s="123"/>
      <c r="E851" s="15"/>
    </row>
    <row r="852" spans="4:5" x14ac:dyDescent="0.3">
      <c r="D852" s="123"/>
      <c r="E852" s="15"/>
    </row>
    <row r="853" spans="4:5" x14ac:dyDescent="0.3">
      <c r="D853" s="123"/>
      <c r="E853" s="15"/>
    </row>
    <row r="854" spans="4:5" x14ac:dyDescent="0.3">
      <c r="D854" s="123"/>
      <c r="E854" s="15"/>
    </row>
    <row r="855" spans="4:5" x14ac:dyDescent="0.3">
      <c r="D855" s="123"/>
      <c r="E855" s="15"/>
    </row>
    <row r="856" spans="4:5" x14ac:dyDescent="0.3">
      <c r="D856" s="123"/>
      <c r="E856" s="15"/>
    </row>
    <row r="857" spans="4:5" x14ac:dyDescent="0.3">
      <c r="D857" s="123"/>
      <c r="E857" s="15"/>
    </row>
    <row r="858" spans="4:5" x14ac:dyDescent="0.3">
      <c r="D858" s="123"/>
      <c r="E858" s="15"/>
    </row>
    <row r="859" spans="4:5" x14ac:dyDescent="0.3">
      <c r="D859" s="123"/>
      <c r="E859" s="15"/>
    </row>
    <row r="860" spans="4:5" x14ac:dyDescent="0.3">
      <c r="D860" s="123"/>
      <c r="E860" s="15"/>
    </row>
    <row r="861" spans="4:5" x14ac:dyDescent="0.3">
      <c r="D861" s="123"/>
      <c r="E861" s="15"/>
    </row>
    <row r="862" spans="4:5" x14ac:dyDescent="0.3">
      <c r="D862" s="123"/>
      <c r="E862" s="15"/>
    </row>
    <row r="863" spans="4:5" x14ac:dyDescent="0.3">
      <c r="D863" s="123"/>
      <c r="E863" s="15"/>
    </row>
    <row r="864" spans="4:5" x14ac:dyDescent="0.3">
      <c r="D864" s="123"/>
      <c r="E864" s="15"/>
    </row>
    <row r="865" spans="4:5" x14ac:dyDescent="0.3">
      <c r="D865" s="123"/>
      <c r="E865" s="15"/>
    </row>
    <row r="866" spans="4:5" x14ac:dyDescent="0.3">
      <c r="D866" s="123"/>
      <c r="E866" s="15"/>
    </row>
    <row r="867" spans="4:5" x14ac:dyDescent="0.3">
      <c r="D867" s="123"/>
      <c r="E867" s="15"/>
    </row>
    <row r="868" spans="4:5" x14ac:dyDescent="0.3">
      <c r="D868" s="123"/>
      <c r="E868" s="15"/>
    </row>
    <row r="869" spans="4:5" x14ac:dyDescent="0.3">
      <c r="D869" s="123"/>
      <c r="E869" s="15"/>
    </row>
    <row r="870" spans="4:5" x14ac:dyDescent="0.3">
      <c r="D870" s="123"/>
      <c r="E870" s="15"/>
    </row>
    <row r="871" spans="4:5" x14ac:dyDescent="0.3">
      <c r="D871" s="123"/>
      <c r="E871" s="15"/>
    </row>
    <row r="872" spans="4:5" x14ac:dyDescent="0.3">
      <c r="D872" s="123"/>
      <c r="E872" s="15"/>
    </row>
    <row r="873" spans="4:5" x14ac:dyDescent="0.3">
      <c r="D873" s="123"/>
      <c r="E873" s="15"/>
    </row>
    <row r="874" spans="4:5" x14ac:dyDescent="0.3">
      <c r="D874" s="123"/>
      <c r="E874" s="15"/>
    </row>
    <row r="875" spans="4:5" x14ac:dyDescent="0.3">
      <c r="D875" s="123"/>
      <c r="E875" s="15"/>
    </row>
    <row r="876" spans="4:5" x14ac:dyDescent="0.3">
      <c r="D876" s="123"/>
      <c r="E876" s="15"/>
    </row>
    <row r="877" spans="4:5" x14ac:dyDescent="0.3">
      <c r="D877" s="123"/>
      <c r="E877" s="15"/>
    </row>
    <row r="878" spans="4:5" x14ac:dyDescent="0.3">
      <c r="D878" s="123"/>
      <c r="E878" s="15"/>
    </row>
    <row r="879" spans="4:5" x14ac:dyDescent="0.3">
      <c r="D879" s="123"/>
      <c r="E879" s="15"/>
    </row>
    <row r="880" spans="4:5" x14ac:dyDescent="0.3">
      <c r="D880" s="123"/>
      <c r="E880" s="15"/>
    </row>
    <row r="881" spans="4:5" x14ac:dyDescent="0.3">
      <c r="D881" s="123"/>
      <c r="E881" s="15"/>
    </row>
    <row r="882" spans="4:5" x14ac:dyDescent="0.3">
      <c r="D882" s="123"/>
      <c r="E882" s="15"/>
    </row>
    <row r="883" spans="4:5" x14ac:dyDescent="0.3">
      <c r="D883" s="123"/>
      <c r="E883" s="15"/>
    </row>
    <row r="884" spans="4:5" x14ac:dyDescent="0.3">
      <c r="D884" s="123"/>
      <c r="E884" s="15"/>
    </row>
    <row r="885" spans="4:5" x14ac:dyDescent="0.3">
      <c r="D885" s="123"/>
      <c r="E885" s="15"/>
    </row>
    <row r="886" spans="4:5" x14ac:dyDescent="0.3">
      <c r="D886" s="123"/>
      <c r="E886" s="15"/>
    </row>
    <row r="887" spans="4:5" x14ac:dyDescent="0.3">
      <c r="D887" s="123"/>
      <c r="E887" s="15"/>
    </row>
    <row r="888" spans="4:5" x14ac:dyDescent="0.3">
      <c r="D888" s="123"/>
      <c r="E888" s="15"/>
    </row>
    <row r="889" spans="4:5" x14ac:dyDescent="0.3">
      <c r="D889" s="123"/>
      <c r="E889" s="15"/>
    </row>
    <row r="890" spans="4:5" x14ac:dyDescent="0.3">
      <c r="D890" s="123"/>
      <c r="E890" s="15"/>
    </row>
    <row r="891" spans="4:5" x14ac:dyDescent="0.3">
      <c r="D891" s="123"/>
      <c r="E891" s="15"/>
    </row>
    <row r="892" spans="4:5" x14ac:dyDescent="0.3">
      <c r="D892" s="123"/>
      <c r="E892" s="15"/>
    </row>
    <row r="893" spans="4:5" x14ac:dyDescent="0.3">
      <c r="D893" s="123"/>
      <c r="E893" s="15"/>
    </row>
    <row r="894" spans="4:5" x14ac:dyDescent="0.3">
      <c r="D894" s="123"/>
      <c r="E894" s="15"/>
    </row>
    <row r="895" spans="4:5" x14ac:dyDescent="0.3">
      <c r="D895" s="123"/>
      <c r="E895" s="15"/>
    </row>
    <row r="896" spans="4:5" x14ac:dyDescent="0.3">
      <c r="D896" s="123"/>
      <c r="E896" s="15"/>
    </row>
    <row r="897" spans="4:5" x14ac:dyDescent="0.3">
      <c r="D897" s="123"/>
      <c r="E897" s="15"/>
    </row>
    <row r="898" spans="4:5" x14ac:dyDescent="0.3">
      <c r="D898" s="123"/>
      <c r="E898" s="15"/>
    </row>
    <row r="899" spans="4:5" x14ac:dyDescent="0.3">
      <c r="D899" s="123"/>
      <c r="E899" s="15"/>
    </row>
    <row r="900" spans="4:5" x14ac:dyDescent="0.3">
      <c r="D900" s="123"/>
      <c r="E900" s="15"/>
    </row>
    <row r="901" spans="4:5" x14ac:dyDescent="0.3">
      <c r="D901" s="123"/>
      <c r="E901" s="15"/>
    </row>
    <row r="902" spans="4:5" x14ac:dyDescent="0.3">
      <c r="D902" s="123"/>
      <c r="E902" s="15"/>
    </row>
    <row r="903" spans="4:5" x14ac:dyDescent="0.3">
      <c r="D903" s="123"/>
      <c r="E903" s="15"/>
    </row>
    <row r="904" spans="4:5" x14ac:dyDescent="0.3">
      <c r="D904" s="123"/>
      <c r="E904" s="15"/>
    </row>
    <row r="905" spans="4:5" x14ac:dyDescent="0.3">
      <c r="D905" s="123"/>
      <c r="E905" s="15"/>
    </row>
    <row r="906" spans="4:5" x14ac:dyDescent="0.3">
      <c r="D906" s="123"/>
      <c r="E906" s="15"/>
    </row>
    <row r="907" spans="4:5" x14ac:dyDescent="0.3">
      <c r="D907" s="123"/>
      <c r="E907" s="15"/>
    </row>
    <row r="908" spans="4:5" x14ac:dyDescent="0.3">
      <c r="D908" s="123"/>
      <c r="E908" s="15"/>
    </row>
    <row r="909" spans="4:5" x14ac:dyDescent="0.3">
      <c r="D909" s="123"/>
      <c r="E909" s="15"/>
    </row>
    <row r="910" spans="4:5" x14ac:dyDescent="0.3">
      <c r="D910" s="123"/>
      <c r="E910" s="15"/>
    </row>
    <row r="911" spans="4:5" x14ac:dyDescent="0.3">
      <c r="D911" s="123"/>
      <c r="E911" s="15"/>
    </row>
    <row r="912" spans="4:5" x14ac:dyDescent="0.3">
      <c r="D912" s="123"/>
      <c r="E912" s="15"/>
    </row>
    <row r="913" spans="4:5" x14ac:dyDescent="0.3">
      <c r="D913" s="123"/>
      <c r="E913" s="15"/>
    </row>
    <row r="914" spans="4:5" x14ac:dyDescent="0.3">
      <c r="D914" s="123"/>
      <c r="E914" s="15"/>
    </row>
    <row r="915" spans="4:5" x14ac:dyDescent="0.3">
      <c r="D915" s="123"/>
      <c r="E915" s="15"/>
    </row>
    <row r="916" spans="4:5" x14ac:dyDescent="0.3">
      <c r="D916" s="123"/>
      <c r="E916" s="15"/>
    </row>
    <row r="917" spans="4:5" x14ac:dyDescent="0.3">
      <c r="D917" s="123"/>
      <c r="E917" s="15"/>
    </row>
    <row r="918" spans="4:5" x14ac:dyDescent="0.3">
      <c r="D918" s="123"/>
      <c r="E918" s="15"/>
    </row>
    <row r="919" spans="4:5" x14ac:dyDescent="0.3">
      <c r="D919" s="123"/>
      <c r="E919" s="15"/>
    </row>
    <row r="920" spans="4:5" x14ac:dyDescent="0.3">
      <c r="D920" s="123"/>
      <c r="E920" s="15"/>
    </row>
    <row r="921" spans="4:5" x14ac:dyDescent="0.3">
      <c r="D921" s="123"/>
      <c r="E921" s="15"/>
    </row>
    <row r="922" spans="4:5" x14ac:dyDescent="0.3">
      <c r="D922" s="123"/>
      <c r="E922" s="15"/>
    </row>
    <row r="923" spans="4:5" x14ac:dyDescent="0.3">
      <c r="D923" s="123"/>
      <c r="E923" s="15"/>
    </row>
    <row r="924" spans="4:5" x14ac:dyDescent="0.3">
      <c r="D924" s="123"/>
      <c r="E924" s="15"/>
    </row>
    <row r="925" spans="4:5" x14ac:dyDescent="0.3">
      <c r="D925" s="123"/>
      <c r="E925" s="15"/>
    </row>
    <row r="926" spans="4:5" x14ac:dyDescent="0.3">
      <c r="D926" s="123"/>
      <c r="E926" s="15"/>
    </row>
    <row r="927" spans="4:5" x14ac:dyDescent="0.3">
      <c r="D927" s="123"/>
      <c r="E927" s="15"/>
    </row>
    <row r="928" spans="4:5" x14ac:dyDescent="0.3">
      <c r="D928" s="123"/>
      <c r="E928" s="15"/>
    </row>
    <row r="929" spans="4:5" x14ac:dyDescent="0.3">
      <c r="D929" s="123"/>
      <c r="E929" s="15"/>
    </row>
    <row r="930" spans="4:5" x14ac:dyDescent="0.3">
      <c r="D930" s="123"/>
      <c r="E930" s="15"/>
    </row>
    <row r="931" spans="4:5" x14ac:dyDescent="0.3">
      <c r="D931" s="123"/>
      <c r="E931" s="15"/>
    </row>
    <row r="932" spans="4:5" x14ac:dyDescent="0.3">
      <c r="D932" s="123"/>
      <c r="E932" s="15"/>
    </row>
    <row r="933" spans="4:5" x14ac:dyDescent="0.3">
      <c r="D933" s="123"/>
      <c r="E933" s="15"/>
    </row>
    <row r="934" spans="4:5" x14ac:dyDescent="0.3">
      <c r="D934" s="123"/>
      <c r="E934" s="15"/>
    </row>
    <row r="935" spans="4:5" x14ac:dyDescent="0.3">
      <c r="D935" s="123"/>
      <c r="E935" s="15"/>
    </row>
    <row r="936" spans="4:5" x14ac:dyDescent="0.3">
      <c r="D936" s="123"/>
      <c r="E936" s="15"/>
    </row>
    <row r="937" spans="4:5" x14ac:dyDescent="0.3">
      <c r="D937" s="123"/>
      <c r="E937" s="15"/>
    </row>
    <row r="938" spans="4:5" x14ac:dyDescent="0.3">
      <c r="D938" s="123"/>
      <c r="E938" s="15"/>
    </row>
    <row r="939" spans="4:5" x14ac:dyDescent="0.3">
      <c r="D939" s="123"/>
      <c r="E939" s="15"/>
    </row>
    <row r="940" spans="4:5" x14ac:dyDescent="0.3">
      <c r="D940" s="123"/>
      <c r="E940" s="15"/>
    </row>
    <row r="941" spans="4:5" x14ac:dyDescent="0.3">
      <c r="D941" s="123"/>
      <c r="E941" s="15"/>
    </row>
    <row r="942" spans="4:5" x14ac:dyDescent="0.3">
      <c r="D942" s="123"/>
      <c r="E942" s="15"/>
    </row>
    <row r="943" spans="4:5" x14ac:dyDescent="0.3">
      <c r="D943" s="123"/>
      <c r="E943" s="15"/>
    </row>
    <row r="944" spans="4:5" x14ac:dyDescent="0.3">
      <c r="D944" s="123"/>
      <c r="E944" s="15"/>
    </row>
    <row r="945" spans="4:5" x14ac:dyDescent="0.3">
      <c r="D945" s="123"/>
      <c r="E945" s="15"/>
    </row>
    <row r="946" spans="4:5" x14ac:dyDescent="0.3">
      <c r="D946" s="123"/>
      <c r="E946" s="15"/>
    </row>
    <row r="947" spans="4:5" x14ac:dyDescent="0.3">
      <c r="D947" s="123"/>
      <c r="E947" s="15"/>
    </row>
    <row r="948" spans="4:5" x14ac:dyDescent="0.3">
      <c r="D948" s="123"/>
      <c r="E948" s="15"/>
    </row>
    <row r="949" spans="4:5" x14ac:dyDescent="0.3">
      <c r="D949" s="123"/>
      <c r="E949" s="15"/>
    </row>
    <row r="950" spans="4:5" x14ac:dyDescent="0.3">
      <c r="D950" s="123"/>
      <c r="E950" s="15"/>
    </row>
    <row r="951" spans="4:5" x14ac:dyDescent="0.3">
      <c r="D951" s="123"/>
      <c r="E951" s="15"/>
    </row>
    <row r="952" spans="4:5" x14ac:dyDescent="0.3">
      <c r="D952" s="123"/>
      <c r="E952" s="15"/>
    </row>
    <row r="953" spans="4:5" x14ac:dyDescent="0.3">
      <c r="D953" s="123"/>
      <c r="E953" s="15"/>
    </row>
    <row r="954" spans="4:5" x14ac:dyDescent="0.3">
      <c r="D954" s="123"/>
      <c r="E954" s="15"/>
    </row>
    <row r="955" spans="4:5" x14ac:dyDescent="0.3">
      <c r="D955" s="123"/>
      <c r="E955" s="15"/>
    </row>
    <row r="956" spans="4:5" x14ac:dyDescent="0.3">
      <c r="D956" s="123"/>
      <c r="E956" s="15"/>
    </row>
    <row r="957" spans="4:5" x14ac:dyDescent="0.3">
      <c r="D957" s="123"/>
      <c r="E957" s="15"/>
    </row>
    <row r="958" spans="4:5" x14ac:dyDescent="0.3">
      <c r="D958" s="123"/>
      <c r="E958" s="15"/>
    </row>
    <row r="959" spans="4:5" x14ac:dyDescent="0.3">
      <c r="D959" s="123"/>
      <c r="E959" s="15"/>
    </row>
    <row r="960" spans="4:5" x14ac:dyDescent="0.3">
      <c r="D960" s="123"/>
      <c r="E960" s="15"/>
    </row>
    <row r="961" spans="4:5" x14ac:dyDescent="0.3">
      <c r="D961" s="123"/>
      <c r="E961" s="15"/>
    </row>
    <row r="962" spans="4:5" x14ac:dyDescent="0.3">
      <c r="D962" s="123"/>
      <c r="E962" s="15"/>
    </row>
    <row r="963" spans="4:5" x14ac:dyDescent="0.3">
      <c r="D963" s="123"/>
      <c r="E963" s="15"/>
    </row>
    <row r="964" spans="4:5" x14ac:dyDescent="0.3">
      <c r="D964" s="123"/>
      <c r="E964" s="15"/>
    </row>
    <row r="965" spans="4:5" x14ac:dyDescent="0.3">
      <c r="D965" s="123"/>
      <c r="E965" s="15"/>
    </row>
    <row r="966" spans="4:5" x14ac:dyDescent="0.3">
      <c r="D966" s="123"/>
      <c r="E966" s="15"/>
    </row>
    <row r="967" spans="4:5" x14ac:dyDescent="0.3">
      <c r="D967" s="123"/>
      <c r="E967" s="15"/>
    </row>
    <row r="968" spans="4:5" x14ac:dyDescent="0.3">
      <c r="D968" s="123"/>
      <c r="E968" s="15"/>
    </row>
    <row r="969" spans="4:5" x14ac:dyDescent="0.3">
      <c r="D969" s="123"/>
      <c r="E969" s="15"/>
    </row>
    <row r="970" spans="4:5" x14ac:dyDescent="0.3">
      <c r="D970" s="123"/>
      <c r="E970" s="15"/>
    </row>
    <row r="971" spans="4:5" x14ac:dyDescent="0.3">
      <c r="D971" s="123"/>
      <c r="E971" s="15"/>
    </row>
    <row r="972" spans="4:5" x14ac:dyDescent="0.3">
      <c r="D972" s="123"/>
      <c r="E972" s="15"/>
    </row>
    <row r="973" spans="4:5" x14ac:dyDescent="0.3">
      <c r="D973" s="123"/>
      <c r="E973" s="15"/>
    </row>
    <row r="974" spans="4:5" x14ac:dyDescent="0.3">
      <c r="D974" s="123"/>
      <c r="E974" s="15"/>
    </row>
    <row r="975" spans="4:5" x14ac:dyDescent="0.3">
      <c r="D975" s="123"/>
      <c r="E975" s="15"/>
    </row>
    <row r="976" spans="4:5" x14ac:dyDescent="0.3">
      <c r="D976" s="123"/>
      <c r="E976" s="15"/>
    </row>
    <row r="977" spans="4:5" x14ac:dyDescent="0.3">
      <c r="D977" s="123"/>
      <c r="E977" s="15"/>
    </row>
    <row r="978" spans="4:5" x14ac:dyDescent="0.3">
      <c r="D978" s="123"/>
      <c r="E978" s="15"/>
    </row>
    <row r="979" spans="4:5" x14ac:dyDescent="0.3">
      <c r="D979" s="123"/>
      <c r="E979" s="15"/>
    </row>
    <row r="980" spans="4:5" x14ac:dyDescent="0.3">
      <c r="D980" s="123"/>
      <c r="E980" s="15"/>
    </row>
    <row r="981" spans="4:5" x14ac:dyDescent="0.3">
      <c r="D981" s="123"/>
      <c r="E981" s="15"/>
    </row>
    <row r="982" spans="4:5" x14ac:dyDescent="0.3">
      <c r="D982" s="123"/>
      <c r="E982" s="15"/>
    </row>
    <row r="983" spans="4:5" x14ac:dyDescent="0.3">
      <c r="D983" s="123"/>
      <c r="E983" s="15"/>
    </row>
    <row r="984" spans="4:5" x14ac:dyDescent="0.3">
      <c r="D984" s="123"/>
      <c r="E984" s="15"/>
    </row>
    <row r="985" spans="4:5" x14ac:dyDescent="0.3">
      <c r="D985" s="123"/>
      <c r="E985" s="15"/>
    </row>
    <row r="986" spans="4:5" x14ac:dyDescent="0.3">
      <c r="D986" s="123"/>
      <c r="E986" s="15"/>
    </row>
    <row r="987" spans="4:5" x14ac:dyDescent="0.3">
      <c r="D987" s="123"/>
      <c r="E987" s="15"/>
    </row>
    <row r="988" spans="4:5" x14ac:dyDescent="0.3">
      <c r="D988" s="123"/>
      <c r="E988" s="15"/>
    </row>
    <row r="989" spans="4:5" x14ac:dyDescent="0.3">
      <c r="D989" s="123"/>
      <c r="E989" s="15"/>
    </row>
    <row r="990" spans="4:5" x14ac:dyDescent="0.3">
      <c r="D990" s="123"/>
      <c r="E990" s="15"/>
    </row>
    <row r="991" spans="4:5" x14ac:dyDescent="0.3">
      <c r="D991" s="123"/>
      <c r="E991" s="15"/>
    </row>
    <row r="992" spans="4:5" x14ac:dyDescent="0.3">
      <c r="D992" s="123"/>
      <c r="E992" s="15"/>
    </row>
    <row r="993" spans="4:5" x14ac:dyDescent="0.3">
      <c r="D993" s="123"/>
      <c r="E993" s="15"/>
    </row>
    <row r="994" spans="4:5" x14ac:dyDescent="0.3">
      <c r="D994" s="123"/>
      <c r="E994" s="15"/>
    </row>
    <row r="995" spans="4:5" x14ac:dyDescent="0.3">
      <c r="D995" s="123"/>
      <c r="E995" s="15"/>
    </row>
    <row r="996" spans="4:5" x14ac:dyDescent="0.3">
      <c r="D996" s="123"/>
      <c r="E996" s="15"/>
    </row>
    <row r="997" spans="4:5" x14ac:dyDescent="0.3">
      <c r="D997" s="123"/>
      <c r="E997" s="15"/>
    </row>
    <row r="998" spans="4:5" x14ac:dyDescent="0.3">
      <c r="D998" s="123"/>
      <c r="E998" s="15"/>
    </row>
    <row r="999" spans="4:5" x14ac:dyDescent="0.3">
      <c r="D999" s="123"/>
      <c r="E999" s="15"/>
    </row>
    <row r="1000" spans="4:5" x14ac:dyDescent="0.3">
      <c r="D1000" s="123"/>
      <c r="E1000" s="15"/>
    </row>
    <row r="1001" spans="4:5" x14ac:dyDescent="0.3">
      <c r="D1001" s="123"/>
      <c r="E1001" s="15"/>
    </row>
    <row r="1002" spans="4:5" x14ac:dyDescent="0.3">
      <c r="D1002" s="123"/>
      <c r="E1002" s="15"/>
    </row>
    <row r="1003" spans="4:5" x14ac:dyDescent="0.3">
      <c r="D1003" s="123"/>
      <c r="E1003" s="15"/>
    </row>
    <row r="1004" spans="4:5" x14ac:dyDescent="0.3">
      <c r="D1004" s="123"/>
      <c r="E1004" s="15"/>
    </row>
    <row r="1005" spans="4:5" x14ac:dyDescent="0.3">
      <c r="D1005" s="123"/>
      <c r="E1005" s="15"/>
    </row>
    <row r="1006" spans="4:5" x14ac:dyDescent="0.3">
      <c r="D1006" s="123"/>
      <c r="E1006" s="15"/>
    </row>
    <row r="1007" spans="4:5" x14ac:dyDescent="0.3">
      <c r="D1007" s="123"/>
      <c r="E1007" s="15"/>
    </row>
    <row r="1008" spans="4:5" x14ac:dyDescent="0.3">
      <c r="D1008" s="123"/>
      <c r="E1008" s="15"/>
    </row>
    <row r="1009" spans="4:5" x14ac:dyDescent="0.3">
      <c r="D1009" s="123"/>
      <c r="E1009" s="15"/>
    </row>
    <row r="1010" spans="4:5" x14ac:dyDescent="0.3">
      <c r="D1010" s="123"/>
      <c r="E1010" s="15"/>
    </row>
    <row r="1011" spans="4:5" x14ac:dyDescent="0.3">
      <c r="D1011" s="123"/>
      <c r="E1011" s="15"/>
    </row>
    <row r="1012" spans="4:5" x14ac:dyDescent="0.3">
      <c r="D1012" s="123"/>
      <c r="E1012" s="15"/>
    </row>
    <row r="1013" spans="4:5" x14ac:dyDescent="0.3">
      <c r="D1013" s="123"/>
      <c r="E1013" s="15"/>
    </row>
    <row r="1014" spans="4:5" x14ac:dyDescent="0.3">
      <c r="D1014" s="123"/>
      <c r="E1014" s="15"/>
    </row>
    <row r="1015" spans="4:5" x14ac:dyDescent="0.3">
      <c r="D1015" s="123"/>
      <c r="E1015" s="15"/>
    </row>
    <row r="1016" spans="4:5" x14ac:dyDescent="0.3">
      <c r="D1016" s="123"/>
      <c r="E1016" s="15"/>
    </row>
    <row r="1017" spans="4:5" x14ac:dyDescent="0.3">
      <c r="D1017" s="123"/>
      <c r="E1017" s="15"/>
    </row>
    <row r="1018" spans="4:5" x14ac:dyDescent="0.3">
      <c r="D1018" s="123"/>
      <c r="E1018" s="15"/>
    </row>
    <row r="1019" spans="4:5" x14ac:dyDescent="0.3">
      <c r="D1019" s="123"/>
      <c r="E1019" s="15"/>
    </row>
    <row r="1020" spans="4:5" x14ac:dyDescent="0.3">
      <c r="D1020" s="123"/>
      <c r="E1020" s="15"/>
    </row>
    <row r="1021" spans="4:5" x14ac:dyDescent="0.3">
      <c r="D1021" s="123"/>
      <c r="E1021" s="15"/>
    </row>
    <row r="1022" spans="4:5" x14ac:dyDescent="0.3">
      <c r="D1022" s="123"/>
      <c r="E1022" s="15"/>
    </row>
    <row r="1023" spans="4:5" x14ac:dyDescent="0.3">
      <c r="D1023" s="123"/>
      <c r="E1023" s="15"/>
    </row>
    <row r="1024" spans="4:5" x14ac:dyDescent="0.3">
      <c r="D1024" s="123"/>
      <c r="E1024" s="15"/>
    </row>
    <row r="1025" spans="4:5" x14ac:dyDescent="0.3">
      <c r="D1025" s="123"/>
      <c r="E1025" s="15"/>
    </row>
    <row r="1026" spans="4:5" x14ac:dyDescent="0.3">
      <c r="D1026" s="123"/>
      <c r="E1026" s="15"/>
    </row>
    <row r="1027" spans="4:5" x14ac:dyDescent="0.3">
      <c r="D1027" s="123"/>
      <c r="E1027" s="15"/>
    </row>
    <row r="1028" spans="4:5" x14ac:dyDescent="0.3">
      <c r="D1028" s="123"/>
      <c r="E1028" s="15"/>
    </row>
    <row r="1029" spans="4:5" x14ac:dyDescent="0.3">
      <c r="D1029" s="123"/>
      <c r="E1029" s="15"/>
    </row>
    <row r="1030" spans="4:5" x14ac:dyDescent="0.3">
      <c r="D1030" s="123"/>
      <c r="E1030" s="15"/>
    </row>
    <row r="1031" spans="4:5" x14ac:dyDescent="0.3">
      <c r="D1031" s="123"/>
      <c r="E1031" s="15"/>
    </row>
    <row r="1032" spans="4:5" x14ac:dyDescent="0.3">
      <c r="D1032" s="123"/>
      <c r="E1032" s="15"/>
    </row>
    <row r="1033" spans="4:5" x14ac:dyDescent="0.3">
      <c r="D1033" s="123"/>
      <c r="E1033" s="15"/>
    </row>
    <row r="1034" spans="4:5" x14ac:dyDescent="0.3">
      <c r="D1034" s="123"/>
      <c r="E1034" s="15"/>
    </row>
    <row r="1035" spans="4:5" x14ac:dyDescent="0.3">
      <c r="D1035" s="123"/>
      <c r="E1035" s="15"/>
    </row>
    <row r="1036" spans="4:5" x14ac:dyDescent="0.3">
      <c r="D1036" s="123"/>
      <c r="E1036" s="15"/>
    </row>
    <row r="1037" spans="4:5" x14ac:dyDescent="0.3">
      <c r="D1037" s="123"/>
      <c r="E1037" s="15"/>
    </row>
    <row r="1038" spans="4:5" x14ac:dyDescent="0.3">
      <c r="D1038" s="123"/>
      <c r="E1038" s="15"/>
    </row>
    <row r="1039" spans="4:5" x14ac:dyDescent="0.3">
      <c r="D1039" s="123"/>
      <c r="E1039" s="15"/>
    </row>
    <row r="1040" spans="4:5" x14ac:dyDescent="0.3">
      <c r="D1040" s="123"/>
      <c r="E1040" s="15"/>
    </row>
    <row r="1041" spans="4:5" x14ac:dyDescent="0.3">
      <c r="D1041" s="123"/>
      <c r="E1041" s="15"/>
    </row>
    <row r="1042" spans="4:5" x14ac:dyDescent="0.3">
      <c r="D1042" s="123"/>
      <c r="E1042" s="15"/>
    </row>
    <row r="1043" spans="4:5" x14ac:dyDescent="0.3">
      <c r="D1043" s="123"/>
      <c r="E1043" s="15"/>
    </row>
    <row r="1044" spans="4:5" x14ac:dyDescent="0.3">
      <c r="D1044" s="123"/>
      <c r="E1044" s="15"/>
    </row>
    <row r="1045" spans="4:5" x14ac:dyDescent="0.3">
      <c r="D1045" s="123"/>
      <c r="E1045" s="15"/>
    </row>
    <row r="1046" spans="4:5" x14ac:dyDescent="0.3">
      <c r="D1046" s="123"/>
      <c r="E1046" s="15"/>
    </row>
    <row r="1047" spans="4:5" x14ac:dyDescent="0.3">
      <c r="D1047" s="123"/>
      <c r="E1047" s="15"/>
    </row>
    <row r="1048" spans="4:5" x14ac:dyDescent="0.3">
      <c r="D1048" s="123"/>
      <c r="E1048" s="15"/>
    </row>
    <row r="1049" spans="4:5" x14ac:dyDescent="0.3">
      <c r="D1049" s="123"/>
      <c r="E1049" s="15"/>
    </row>
    <row r="1050" spans="4:5" x14ac:dyDescent="0.3">
      <c r="D1050" s="123"/>
      <c r="E1050" s="15"/>
    </row>
    <row r="1051" spans="4:5" x14ac:dyDescent="0.3">
      <c r="D1051" s="123"/>
      <c r="E1051" s="15"/>
    </row>
    <row r="1052" spans="4:5" x14ac:dyDescent="0.3">
      <c r="D1052" s="123"/>
      <c r="E1052" s="15"/>
    </row>
    <row r="1053" spans="4:5" x14ac:dyDescent="0.3">
      <c r="D1053" s="123"/>
      <c r="E1053" s="15"/>
    </row>
    <row r="1054" spans="4:5" x14ac:dyDescent="0.3">
      <c r="D1054" s="123"/>
      <c r="E1054" s="15"/>
    </row>
    <row r="1055" spans="4:5" x14ac:dyDescent="0.3">
      <c r="D1055" s="123"/>
      <c r="E1055" s="15"/>
    </row>
    <row r="1056" spans="4:5" x14ac:dyDescent="0.3">
      <c r="D1056" s="123"/>
      <c r="E1056" s="15"/>
    </row>
    <row r="1057" spans="4:5" x14ac:dyDescent="0.3">
      <c r="D1057" s="123"/>
      <c r="E1057" s="15"/>
    </row>
    <row r="1058" spans="4:5" x14ac:dyDescent="0.3">
      <c r="D1058" s="123"/>
      <c r="E1058" s="15"/>
    </row>
    <row r="1059" spans="4:5" x14ac:dyDescent="0.3">
      <c r="D1059" s="123"/>
      <c r="E1059" s="15"/>
    </row>
    <row r="1060" spans="4:5" x14ac:dyDescent="0.3">
      <c r="D1060" s="123"/>
      <c r="E1060" s="15"/>
    </row>
    <row r="1061" spans="4:5" x14ac:dyDescent="0.3">
      <c r="D1061" s="123"/>
      <c r="E1061" s="15"/>
    </row>
    <row r="1062" spans="4:5" x14ac:dyDescent="0.3">
      <c r="D1062" s="123"/>
      <c r="E1062" s="15"/>
    </row>
    <row r="1063" spans="4:5" x14ac:dyDescent="0.3">
      <c r="D1063" s="123"/>
      <c r="E1063" s="15"/>
    </row>
    <row r="1064" spans="4:5" x14ac:dyDescent="0.3">
      <c r="D1064" s="123"/>
      <c r="E1064" s="15"/>
    </row>
    <row r="1065" spans="4:5" x14ac:dyDescent="0.3">
      <c r="D1065" s="123"/>
      <c r="E1065" s="15"/>
    </row>
    <row r="1066" spans="4:5" x14ac:dyDescent="0.3">
      <c r="D1066" s="123"/>
      <c r="E1066" s="15"/>
    </row>
    <row r="1067" spans="4:5" x14ac:dyDescent="0.3">
      <c r="D1067" s="123"/>
      <c r="E1067" s="15"/>
    </row>
    <row r="1068" spans="4:5" x14ac:dyDescent="0.3">
      <c r="D1068" s="123"/>
      <c r="E1068" s="15"/>
    </row>
    <row r="1069" spans="4:5" x14ac:dyDescent="0.3">
      <c r="D1069" s="123"/>
      <c r="E1069" s="15"/>
    </row>
    <row r="1070" spans="4:5" x14ac:dyDescent="0.3">
      <c r="D1070" s="123"/>
      <c r="E1070" s="15"/>
    </row>
    <row r="1071" spans="4:5" x14ac:dyDescent="0.3">
      <c r="D1071" s="123"/>
      <c r="E1071" s="15"/>
    </row>
    <row r="1072" spans="4:5" x14ac:dyDescent="0.3">
      <c r="D1072" s="123"/>
      <c r="E1072" s="15"/>
    </row>
    <row r="1073" spans="4:5" x14ac:dyDescent="0.3">
      <c r="D1073" s="123"/>
      <c r="E1073" s="15"/>
    </row>
    <row r="1074" spans="4:5" x14ac:dyDescent="0.3">
      <c r="D1074" s="123"/>
      <c r="E1074" s="15"/>
    </row>
    <row r="1075" spans="4:5" x14ac:dyDescent="0.3">
      <c r="D1075" s="123"/>
      <c r="E1075" s="15"/>
    </row>
    <row r="1076" spans="4:5" x14ac:dyDescent="0.3">
      <c r="D1076" s="123"/>
      <c r="E1076" s="15"/>
    </row>
    <row r="1077" spans="4:5" x14ac:dyDescent="0.3">
      <c r="D1077" s="123"/>
      <c r="E1077" s="15"/>
    </row>
    <row r="1078" spans="4:5" x14ac:dyDescent="0.3">
      <c r="D1078" s="123"/>
      <c r="E1078" s="15"/>
    </row>
    <row r="1079" spans="4:5" x14ac:dyDescent="0.3">
      <c r="D1079" s="123"/>
      <c r="E1079" s="15"/>
    </row>
    <row r="1080" spans="4:5" x14ac:dyDescent="0.3">
      <c r="D1080" s="123"/>
      <c r="E1080" s="15"/>
    </row>
    <row r="1081" spans="4:5" x14ac:dyDescent="0.3">
      <c r="D1081" s="123"/>
      <c r="E1081" s="15"/>
    </row>
    <row r="1082" spans="4:5" x14ac:dyDescent="0.3">
      <c r="D1082" s="123"/>
      <c r="E1082" s="15"/>
    </row>
    <row r="1083" spans="4:5" x14ac:dyDescent="0.3">
      <c r="D1083" s="123"/>
      <c r="E1083" s="15"/>
    </row>
    <row r="1084" spans="4:5" x14ac:dyDescent="0.3">
      <c r="D1084" s="123"/>
      <c r="E1084" s="15"/>
    </row>
    <row r="1085" spans="4:5" x14ac:dyDescent="0.3">
      <c r="D1085" s="123"/>
      <c r="E1085" s="15"/>
    </row>
    <row r="1086" spans="4:5" x14ac:dyDescent="0.3">
      <c r="D1086" s="123"/>
      <c r="E1086" s="15"/>
    </row>
    <row r="1087" spans="4:5" x14ac:dyDescent="0.3">
      <c r="D1087" s="123"/>
      <c r="E1087" s="15"/>
    </row>
    <row r="1088" spans="4:5" x14ac:dyDescent="0.3">
      <c r="D1088" s="123"/>
      <c r="E1088" s="15"/>
    </row>
    <row r="1089" spans="4:5" x14ac:dyDescent="0.3">
      <c r="D1089" s="123"/>
      <c r="E1089" s="15"/>
    </row>
    <row r="1090" spans="4:5" x14ac:dyDescent="0.3">
      <c r="D1090" s="123"/>
      <c r="E1090" s="15"/>
    </row>
    <row r="1091" spans="4:5" x14ac:dyDescent="0.3">
      <c r="D1091" s="123"/>
      <c r="E1091" s="15"/>
    </row>
    <row r="1092" spans="4:5" x14ac:dyDescent="0.3">
      <c r="D1092" s="123"/>
      <c r="E1092" s="15"/>
    </row>
    <row r="1093" spans="4:5" x14ac:dyDescent="0.3">
      <c r="D1093" s="123"/>
      <c r="E1093" s="15"/>
    </row>
    <row r="1094" spans="4:5" x14ac:dyDescent="0.3">
      <c r="D1094" s="123"/>
      <c r="E1094" s="15"/>
    </row>
    <row r="1095" spans="4:5" x14ac:dyDescent="0.3">
      <c r="D1095" s="123"/>
      <c r="E1095" s="15"/>
    </row>
    <row r="1096" spans="4:5" x14ac:dyDescent="0.3">
      <c r="D1096" s="123"/>
      <c r="E1096" s="15"/>
    </row>
    <row r="1097" spans="4:5" x14ac:dyDescent="0.3">
      <c r="D1097" s="123"/>
      <c r="E1097" s="15"/>
    </row>
    <row r="1098" spans="4:5" x14ac:dyDescent="0.3">
      <c r="D1098" s="123"/>
      <c r="E1098" s="15"/>
    </row>
    <row r="1099" spans="4:5" x14ac:dyDescent="0.3">
      <c r="D1099" s="123"/>
      <c r="E1099" s="15"/>
    </row>
    <row r="1100" spans="4:5" x14ac:dyDescent="0.3">
      <c r="D1100" s="123"/>
      <c r="E1100" s="15"/>
    </row>
    <row r="1101" spans="4:5" x14ac:dyDescent="0.3">
      <c r="D1101" s="123"/>
      <c r="E1101" s="15"/>
    </row>
    <row r="1102" spans="4:5" x14ac:dyDescent="0.3">
      <c r="D1102" s="123"/>
      <c r="E1102" s="15"/>
    </row>
    <row r="1103" spans="4:5" x14ac:dyDescent="0.3">
      <c r="D1103" s="123"/>
      <c r="E1103" s="15"/>
    </row>
    <row r="1104" spans="4:5" x14ac:dyDescent="0.3">
      <c r="D1104" s="123"/>
      <c r="E1104" s="15"/>
    </row>
    <row r="1105" spans="4:5" x14ac:dyDescent="0.3">
      <c r="D1105" s="123"/>
      <c r="E1105" s="15"/>
    </row>
    <row r="1106" spans="4:5" x14ac:dyDescent="0.3">
      <c r="D1106" s="123"/>
      <c r="E1106" s="15"/>
    </row>
    <row r="1107" spans="4:5" x14ac:dyDescent="0.3">
      <c r="D1107" s="123"/>
      <c r="E1107" s="15"/>
    </row>
    <row r="1108" spans="4:5" x14ac:dyDescent="0.3">
      <c r="D1108" s="123"/>
      <c r="E1108" s="15"/>
    </row>
    <row r="1109" spans="4:5" x14ac:dyDescent="0.3">
      <c r="D1109" s="123"/>
      <c r="E1109" s="15"/>
    </row>
    <row r="1110" spans="4:5" x14ac:dyDescent="0.3">
      <c r="D1110" s="123"/>
      <c r="E1110" s="15"/>
    </row>
    <row r="1111" spans="4:5" x14ac:dyDescent="0.3">
      <c r="D1111" s="123"/>
      <c r="E1111" s="15"/>
    </row>
    <row r="1112" spans="4:5" x14ac:dyDescent="0.3">
      <c r="D1112" s="123"/>
      <c r="E1112" s="15"/>
    </row>
    <row r="1113" spans="4:5" x14ac:dyDescent="0.3">
      <c r="D1113" s="123"/>
      <c r="E1113" s="15"/>
    </row>
    <row r="1114" spans="4:5" x14ac:dyDescent="0.3">
      <c r="D1114" s="123"/>
      <c r="E1114" s="15"/>
    </row>
    <row r="1115" spans="4:5" x14ac:dyDescent="0.3">
      <c r="D1115" s="123"/>
      <c r="E1115" s="15"/>
    </row>
    <row r="1116" spans="4:5" x14ac:dyDescent="0.3">
      <c r="D1116" s="123"/>
      <c r="E1116" s="15"/>
    </row>
    <row r="1117" spans="4:5" x14ac:dyDescent="0.3">
      <c r="D1117" s="123"/>
      <c r="E1117" s="15"/>
    </row>
    <row r="1118" spans="4:5" x14ac:dyDescent="0.3">
      <c r="D1118" s="123"/>
      <c r="E1118" s="15"/>
    </row>
    <row r="1119" spans="4:5" x14ac:dyDescent="0.3">
      <c r="D1119" s="123"/>
      <c r="E1119" s="15"/>
    </row>
    <row r="1120" spans="4:5" x14ac:dyDescent="0.3">
      <c r="D1120" s="123"/>
      <c r="E1120" s="15"/>
    </row>
    <row r="1121" spans="4:5" x14ac:dyDescent="0.3">
      <c r="D1121" s="123"/>
      <c r="E1121" s="15"/>
    </row>
    <row r="1122" spans="4:5" x14ac:dyDescent="0.3">
      <c r="D1122" s="123"/>
      <c r="E1122" s="15"/>
    </row>
    <row r="1123" spans="4:5" x14ac:dyDescent="0.3">
      <c r="D1123" s="123"/>
      <c r="E1123" s="15"/>
    </row>
    <row r="1124" spans="4:5" x14ac:dyDescent="0.3">
      <c r="D1124" s="123"/>
      <c r="E1124" s="15"/>
    </row>
    <row r="1125" spans="4:5" x14ac:dyDescent="0.3">
      <c r="D1125" s="123"/>
      <c r="E1125" s="15"/>
    </row>
    <row r="1126" spans="4:5" x14ac:dyDescent="0.3">
      <c r="D1126" s="123"/>
      <c r="E1126" s="15"/>
    </row>
    <row r="1127" spans="4:5" x14ac:dyDescent="0.3">
      <c r="D1127" s="123"/>
      <c r="E1127" s="15"/>
    </row>
    <row r="1128" spans="4:5" x14ac:dyDescent="0.3">
      <c r="D1128" s="123"/>
      <c r="E1128" s="15"/>
    </row>
    <row r="1129" spans="4:5" x14ac:dyDescent="0.3">
      <c r="D1129" s="123"/>
      <c r="E1129" s="15"/>
    </row>
    <row r="1130" spans="4:5" x14ac:dyDescent="0.3">
      <c r="D1130" s="123"/>
      <c r="E1130" s="15"/>
    </row>
    <row r="1131" spans="4:5" x14ac:dyDescent="0.3">
      <c r="D1131" s="123"/>
      <c r="E1131" s="15"/>
    </row>
    <row r="1132" spans="4:5" x14ac:dyDescent="0.3">
      <c r="D1132" s="123"/>
      <c r="E1132" s="15"/>
    </row>
    <row r="1133" spans="4:5" x14ac:dyDescent="0.3">
      <c r="D1133" s="123"/>
      <c r="E1133" s="15"/>
    </row>
    <row r="1134" spans="4:5" x14ac:dyDescent="0.3">
      <c r="D1134" s="123"/>
      <c r="E1134" s="15"/>
    </row>
    <row r="1135" spans="4:5" x14ac:dyDescent="0.3">
      <c r="D1135" s="123"/>
      <c r="E1135" s="15"/>
    </row>
    <row r="1136" spans="4:5" x14ac:dyDescent="0.3">
      <c r="D1136" s="123"/>
      <c r="E1136" s="15"/>
    </row>
    <row r="1137" spans="4:5" x14ac:dyDescent="0.3">
      <c r="D1137" s="123"/>
      <c r="E1137" s="15"/>
    </row>
    <row r="1138" spans="4:5" x14ac:dyDescent="0.3">
      <c r="D1138" s="123"/>
      <c r="E1138" s="15"/>
    </row>
    <row r="1139" spans="4:5" x14ac:dyDescent="0.3">
      <c r="D1139" s="123"/>
      <c r="E1139" s="15"/>
    </row>
    <row r="1140" spans="4:5" x14ac:dyDescent="0.3">
      <c r="D1140" s="123"/>
      <c r="E1140" s="15"/>
    </row>
    <row r="1141" spans="4:5" x14ac:dyDescent="0.3">
      <c r="D1141" s="123"/>
      <c r="E1141" s="15"/>
    </row>
    <row r="1142" spans="4:5" x14ac:dyDescent="0.3">
      <c r="D1142" s="123"/>
      <c r="E1142" s="15"/>
    </row>
    <row r="1143" spans="4:5" x14ac:dyDescent="0.3">
      <c r="D1143" s="123"/>
      <c r="E1143" s="15"/>
    </row>
    <row r="1144" spans="4:5" x14ac:dyDescent="0.3">
      <c r="D1144" s="123"/>
      <c r="E1144" s="15"/>
    </row>
    <row r="1145" spans="4:5" x14ac:dyDescent="0.3">
      <c r="D1145" s="123"/>
      <c r="E1145" s="15"/>
    </row>
    <row r="1146" spans="4:5" x14ac:dyDescent="0.3">
      <c r="D1146" s="123"/>
      <c r="E1146" s="15"/>
    </row>
    <row r="1147" spans="4:5" x14ac:dyDescent="0.3">
      <c r="D1147" s="123"/>
      <c r="E1147" s="15"/>
    </row>
    <row r="1148" spans="4:5" x14ac:dyDescent="0.3">
      <c r="D1148" s="123"/>
      <c r="E1148" s="15"/>
    </row>
    <row r="1149" spans="4:5" x14ac:dyDescent="0.3">
      <c r="D1149" s="123"/>
      <c r="E1149" s="15"/>
    </row>
    <row r="1150" spans="4:5" x14ac:dyDescent="0.3">
      <c r="D1150" s="123"/>
      <c r="E1150" s="15"/>
    </row>
    <row r="1151" spans="4:5" x14ac:dyDescent="0.3">
      <c r="D1151" s="123"/>
      <c r="E1151" s="15"/>
    </row>
    <row r="1152" spans="4:5" x14ac:dyDescent="0.3">
      <c r="D1152" s="123"/>
      <c r="E1152" s="15"/>
    </row>
    <row r="1153" spans="4:5" x14ac:dyDescent="0.3">
      <c r="D1153" s="123"/>
      <c r="E1153" s="15"/>
    </row>
    <row r="1154" spans="4:5" x14ac:dyDescent="0.3">
      <c r="D1154" s="123"/>
      <c r="E1154" s="15"/>
    </row>
    <row r="1155" spans="4:5" x14ac:dyDescent="0.3">
      <c r="D1155" s="123"/>
      <c r="E1155" s="15"/>
    </row>
    <row r="1156" spans="4:5" x14ac:dyDescent="0.3">
      <c r="D1156" s="123"/>
      <c r="E1156" s="15"/>
    </row>
    <row r="1157" spans="4:5" x14ac:dyDescent="0.3">
      <c r="D1157" s="123"/>
      <c r="E1157" s="15"/>
    </row>
    <row r="1158" spans="4:5" x14ac:dyDescent="0.3">
      <c r="D1158" s="123"/>
      <c r="E1158" s="15"/>
    </row>
    <row r="1159" spans="4:5" x14ac:dyDescent="0.3">
      <c r="D1159" s="123"/>
      <c r="E1159" s="15"/>
    </row>
    <row r="1160" spans="4:5" x14ac:dyDescent="0.3">
      <c r="D1160" s="123"/>
      <c r="E1160" s="15"/>
    </row>
    <row r="1161" spans="4:5" x14ac:dyDescent="0.3">
      <c r="D1161" s="123"/>
      <c r="E1161" s="15"/>
    </row>
    <row r="1162" spans="4:5" x14ac:dyDescent="0.3">
      <c r="D1162" s="123"/>
      <c r="E1162" s="15"/>
    </row>
    <row r="1163" spans="4:5" x14ac:dyDescent="0.3">
      <c r="D1163" s="123"/>
      <c r="E1163" s="15"/>
    </row>
    <row r="1164" spans="4:5" x14ac:dyDescent="0.3">
      <c r="D1164" s="123"/>
      <c r="E1164" s="15"/>
    </row>
    <row r="1165" spans="4:5" x14ac:dyDescent="0.3">
      <c r="D1165" s="123"/>
      <c r="E1165" s="15"/>
    </row>
    <row r="1166" spans="4:5" x14ac:dyDescent="0.3">
      <c r="D1166" s="123"/>
      <c r="E1166" s="15"/>
    </row>
    <row r="1167" spans="4:5" x14ac:dyDescent="0.3">
      <c r="D1167" s="123"/>
      <c r="E1167" s="15"/>
    </row>
    <row r="1168" spans="4:5" x14ac:dyDescent="0.3">
      <c r="D1168" s="123"/>
      <c r="E1168" s="15"/>
    </row>
    <row r="1169" spans="4:5" x14ac:dyDescent="0.3">
      <c r="D1169" s="123"/>
      <c r="E1169" s="15"/>
    </row>
    <row r="1170" spans="4:5" x14ac:dyDescent="0.3">
      <c r="D1170" s="123"/>
      <c r="E1170" s="15"/>
    </row>
    <row r="1171" spans="4:5" x14ac:dyDescent="0.3">
      <c r="D1171" s="123"/>
      <c r="E1171" s="15"/>
    </row>
    <row r="1172" spans="4:5" x14ac:dyDescent="0.3">
      <c r="D1172" s="123"/>
      <c r="E1172" s="15"/>
    </row>
    <row r="1173" spans="4:5" x14ac:dyDescent="0.3">
      <c r="D1173" s="123"/>
      <c r="E1173" s="15"/>
    </row>
    <row r="1174" spans="4:5" x14ac:dyDescent="0.3">
      <c r="D1174" s="123"/>
      <c r="E1174" s="15"/>
    </row>
    <row r="1175" spans="4:5" x14ac:dyDescent="0.3">
      <c r="D1175" s="123"/>
      <c r="E1175" s="15"/>
    </row>
    <row r="1176" spans="4:5" x14ac:dyDescent="0.3">
      <c r="D1176" s="123"/>
      <c r="E1176" s="15"/>
    </row>
    <row r="1177" spans="4:5" x14ac:dyDescent="0.3">
      <c r="D1177" s="123"/>
      <c r="E1177" s="15"/>
    </row>
    <row r="1178" spans="4:5" x14ac:dyDescent="0.3">
      <c r="D1178" s="123"/>
      <c r="E1178" s="15"/>
    </row>
    <row r="1179" spans="4:5" x14ac:dyDescent="0.3">
      <c r="D1179" s="123"/>
      <c r="E1179" s="15"/>
    </row>
    <row r="1180" spans="4:5" x14ac:dyDescent="0.3">
      <c r="D1180" s="123"/>
      <c r="E1180" s="15"/>
    </row>
    <row r="1181" spans="4:5" x14ac:dyDescent="0.3">
      <c r="D1181" s="123"/>
      <c r="E1181" s="15"/>
    </row>
    <row r="1182" spans="4:5" x14ac:dyDescent="0.3">
      <c r="D1182" s="123"/>
      <c r="E1182" s="15"/>
    </row>
    <row r="1183" spans="4:5" x14ac:dyDescent="0.3">
      <c r="D1183" s="123"/>
      <c r="E1183" s="15"/>
    </row>
    <row r="1184" spans="4:5" x14ac:dyDescent="0.3">
      <c r="D1184" s="123"/>
      <c r="E1184" s="15"/>
    </row>
    <row r="1185" spans="4:5" x14ac:dyDescent="0.3">
      <c r="D1185" s="123"/>
      <c r="E1185" s="15"/>
    </row>
    <row r="1186" spans="4:5" x14ac:dyDescent="0.3">
      <c r="D1186" s="123"/>
      <c r="E1186" s="15"/>
    </row>
    <row r="1187" spans="4:5" x14ac:dyDescent="0.3">
      <c r="D1187" s="123"/>
      <c r="E1187" s="15"/>
    </row>
    <row r="1188" spans="4:5" x14ac:dyDescent="0.3">
      <c r="D1188" s="123"/>
      <c r="E1188" s="15"/>
    </row>
    <row r="1189" spans="4:5" x14ac:dyDescent="0.3">
      <c r="D1189" s="123"/>
      <c r="E1189" s="15"/>
    </row>
    <row r="1190" spans="4:5" x14ac:dyDescent="0.3">
      <c r="D1190" s="123"/>
      <c r="E1190" s="15"/>
    </row>
    <row r="1191" spans="4:5" x14ac:dyDescent="0.3">
      <c r="D1191" s="123"/>
      <c r="E1191" s="15"/>
    </row>
    <row r="1192" spans="4:5" x14ac:dyDescent="0.3">
      <c r="D1192" s="123"/>
      <c r="E1192" s="15"/>
    </row>
    <row r="1193" spans="4:5" x14ac:dyDescent="0.3">
      <c r="D1193" s="123"/>
      <c r="E1193" s="15"/>
    </row>
    <row r="1194" spans="4:5" x14ac:dyDescent="0.3">
      <c r="D1194" s="123"/>
      <c r="E1194" s="15"/>
    </row>
    <row r="1195" spans="4:5" x14ac:dyDescent="0.3">
      <c r="D1195" s="123"/>
      <c r="E1195" s="15"/>
    </row>
    <row r="1196" spans="4:5" x14ac:dyDescent="0.3">
      <c r="D1196" s="123"/>
      <c r="E1196" s="15"/>
    </row>
    <row r="1197" spans="4:5" x14ac:dyDescent="0.3">
      <c r="D1197" s="123"/>
      <c r="E1197" s="15"/>
    </row>
    <row r="1198" spans="4:5" x14ac:dyDescent="0.3">
      <c r="D1198" s="123"/>
      <c r="E1198" s="15"/>
    </row>
    <row r="1199" spans="4:5" x14ac:dyDescent="0.3">
      <c r="D1199" s="123"/>
      <c r="E1199" s="15"/>
    </row>
    <row r="1200" spans="4:5" x14ac:dyDescent="0.3">
      <c r="D1200" s="123"/>
      <c r="E1200" s="15"/>
    </row>
    <row r="1201" spans="4:5" x14ac:dyDescent="0.3">
      <c r="D1201" s="123"/>
      <c r="E1201" s="15"/>
    </row>
    <row r="1202" spans="4:5" x14ac:dyDescent="0.3">
      <c r="D1202" s="123"/>
      <c r="E1202" s="15"/>
    </row>
    <row r="1203" spans="4:5" x14ac:dyDescent="0.3">
      <c r="D1203" s="123"/>
      <c r="E1203" s="15"/>
    </row>
    <row r="1204" spans="4:5" x14ac:dyDescent="0.3">
      <c r="D1204" s="123"/>
      <c r="E1204" s="15"/>
    </row>
    <row r="1205" spans="4:5" x14ac:dyDescent="0.3">
      <c r="D1205" s="123"/>
      <c r="E1205" s="15"/>
    </row>
    <row r="1206" spans="4:5" x14ac:dyDescent="0.3">
      <c r="D1206" s="123"/>
      <c r="E1206" s="15"/>
    </row>
    <row r="1207" spans="4:5" x14ac:dyDescent="0.3">
      <c r="D1207" s="123"/>
      <c r="E1207" s="15"/>
    </row>
    <row r="1208" spans="4:5" x14ac:dyDescent="0.3">
      <c r="D1208" s="123"/>
      <c r="E1208" s="15"/>
    </row>
    <row r="1209" spans="4:5" x14ac:dyDescent="0.3">
      <c r="D1209" s="123"/>
      <c r="E1209" s="15"/>
    </row>
    <row r="1210" spans="4:5" x14ac:dyDescent="0.3">
      <c r="D1210" s="123"/>
      <c r="E1210" s="15"/>
    </row>
    <row r="1211" spans="4:5" x14ac:dyDescent="0.3">
      <c r="D1211" s="123"/>
      <c r="E1211" s="15"/>
    </row>
    <row r="1212" spans="4:5" x14ac:dyDescent="0.3">
      <c r="D1212" s="123"/>
      <c r="E1212" s="15"/>
    </row>
    <row r="1213" spans="4:5" x14ac:dyDescent="0.3">
      <c r="D1213" s="123"/>
      <c r="E1213" s="15"/>
    </row>
    <row r="1214" spans="4:5" x14ac:dyDescent="0.3">
      <c r="D1214" s="123"/>
      <c r="E1214" s="15"/>
    </row>
    <row r="1215" spans="4:5" x14ac:dyDescent="0.3">
      <c r="D1215" s="123"/>
      <c r="E1215" s="15"/>
    </row>
    <row r="1216" spans="4:5" x14ac:dyDescent="0.3">
      <c r="D1216" s="123"/>
      <c r="E1216" s="15"/>
    </row>
    <row r="1217" spans="4:5" x14ac:dyDescent="0.3">
      <c r="D1217" s="123"/>
      <c r="E1217" s="15"/>
    </row>
    <row r="1218" spans="4:5" x14ac:dyDescent="0.3">
      <c r="D1218" s="123"/>
      <c r="E1218" s="15"/>
    </row>
    <row r="1219" spans="4:5" x14ac:dyDescent="0.3">
      <c r="D1219" s="123"/>
      <c r="E1219" s="15"/>
    </row>
    <row r="1220" spans="4:5" x14ac:dyDescent="0.3">
      <c r="D1220" s="123"/>
      <c r="E1220" s="15"/>
    </row>
    <row r="1221" spans="4:5" x14ac:dyDescent="0.3">
      <c r="D1221" s="123"/>
      <c r="E1221" s="15"/>
    </row>
    <row r="1222" spans="4:5" x14ac:dyDescent="0.3">
      <c r="D1222" s="123"/>
      <c r="E1222" s="15"/>
    </row>
    <row r="1223" spans="4:5" x14ac:dyDescent="0.3">
      <c r="D1223" s="123"/>
      <c r="E1223" s="15"/>
    </row>
    <row r="1224" spans="4:5" x14ac:dyDescent="0.3">
      <c r="D1224" s="123"/>
      <c r="E1224" s="15"/>
    </row>
    <row r="1225" spans="4:5" x14ac:dyDescent="0.3">
      <c r="D1225" s="123"/>
      <c r="E1225" s="15"/>
    </row>
    <row r="1226" spans="4:5" x14ac:dyDescent="0.3">
      <c r="D1226" s="123"/>
      <c r="E1226" s="15"/>
    </row>
    <row r="1227" spans="4:5" x14ac:dyDescent="0.3">
      <c r="D1227" s="123"/>
      <c r="E1227" s="15"/>
    </row>
    <row r="1228" spans="4:5" x14ac:dyDescent="0.3">
      <c r="D1228" s="123"/>
      <c r="E1228" s="15"/>
    </row>
    <row r="1229" spans="4:5" x14ac:dyDescent="0.3">
      <c r="D1229" s="123"/>
      <c r="E1229" s="15"/>
    </row>
    <row r="1230" spans="4:5" x14ac:dyDescent="0.3">
      <c r="D1230" s="123"/>
      <c r="E1230" s="15"/>
    </row>
    <row r="1231" spans="4:5" x14ac:dyDescent="0.3">
      <c r="D1231" s="123"/>
      <c r="E1231" s="15"/>
    </row>
    <row r="1232" spans="4:5" x14ac:dyDescent="0.3">
      <c r="D1232" s="123"/>
      <c r="E1232" s="15"/>
    </row>
    <row r="1233" spans="4:5" x14ac:dyDescent="0.3">
      <c r="D1233" s="123"/>
      <c r="E1233" s="15"/>
    </row>
    <row r="1234" spans="4:5" x14ac:dyDescent="0.3">
      <c r="D1234" s="123"/>
      <c r="E1234" s="15"/>
    </row>
    <row r="1235" spans="4:5" x14ac:dyDescent="0.3">
      <c r="D1235" s="123"/>
      <c r="E1235" s="15"/>
    </row>
    <row r="1236" spans="4:5" x14ac:dyDescent="0.3">
      <c r="D1236" s="123"/>
      <c r="E1236" s="15"/>
    </row>
    <row r="1237" spans="4:5" x14ac:dyDescent="0.3">
      <c r="D1237" s="123"/>
      <c r="E1237" s="15"/>
    </row>
    <row r="1238" spans="4:5" x14ac:dyDescent="0.3">
      <c r="D1238" s="123"/>
      <c r="E1238" s="15"/>
    </row>
    <row r="1239" spans="4:5" x14ac:dyDescent="0.3">
      <c r="D1239" s="123"/>
      <c r="E1239" s="15"/>
    </row>
    <row r="1240" spans="4:5" x14ac:dyDescent="0.3">
      <c r="D1240" s="123"/>
      <c r="E1240" s="15"/>
    </row>
    <row r="1241" spans="4:5" x14ac:dyDescent="0.3">
      <c r="D1241" s="123"/>
      <c r="E1241" s="15"/>
    </row>
    <row r="1242" spans="4:5" x14ac:dyDescent="0.3">
      <c r="D1242" s="123"/>
      <c r="E1242" s="15"/>
    </row>
    <row r="1243" spans="4:5" x14ac:dyDescent="0.3">
      <c r="D1243" s="123"/>
      <c r="E1243" s="15"/>
    </row>
    <row r="1244" spans="4:5" x14ac:dyDescent="0.3">
      <c r="D1244" s="123"/>
      <c r="E1244" s="15"/>
    </row>
    <row r="1245" spans="4:5" x14ac:dyDescent="0.3">
      <c r="D1245" s="123"/>
      <c r="E1245" s="15"/>
    </row>
    <row r="1246" spans="4:5" x14ac:dyDescent="0.3">
      <c r="D1246" s="123"/>
      <c r="E1246" s="15"/>
    </row>
    <row r="1247" spans="4:5" x14ac:dyDescent="0.3">
      <c r="D1247" s="123"/>
      <c r="E1247" s="15"/>
    </row>
    <row r="1248" spans="4:5" x14ac:dyDescent="0.3">
      <c r="D1248" s="123"/>
      <c r="E1248" s="15"/>
    </row>
    <row r="1249" spans="4:5" x14ac:dyDescent="0.3">
      <c r="D1249" s="123"/>
      <c r="E1249" s="15"/>
    </row>
    <row r="1250" spans="4:5" x14ac:dyDescent="0.3">
      <c r="D1250" s="123"/>
      <c r="E1250" s="15"/>
    </row>
    <row r="1251" spans="4:5" x14ac:dyDescent="0.3">
      <c r="D1251" s="123"/>
      <c r="E1251" s="15"/>
    </row>
    <row r="1252" spans="4:5" x14ac:dyDescent="0.3">
      <c r="D1252" s="123"/>
      <c r="E1252" s="15"/>
    </row>
    <row r="1253" spans="4:5" x14ac:dyDescent="0.3">
      <c r="D1253" s="123"/>
      <c r="E1253" s="15"/>
    </row>
    <row r="1254" spans="4:5" x14ac:dyDescent="0.3">
      <c r="D1254" s="123"/>
      <c r="E1254" s="15"/>
    </row>
    <row r="1255" spans="4:5" x14ac:dyDescent="0.3">
      <c r="D1255" s="123"/>
      <c r="E1255" s="15"/>
    </row>
    <row r="1256" spans="4:5" x14ac:dyDescent="0.3">
      <c r="D1256" s="123"/>
      <c r="E1256" s="15"/>
    </row>
    <row r="1257" spans="4:5" x14ac:dyDescent="0.3">
      <c r="D1257" s="123"/>
      <c r="E1257" s="15"/>
    </row>
    <row r="1258" spans="4:5" x14ac:dyDescent="0.3">
      <c r="D1258" s="123"/>
      <c r="E1258" s="15"/>
    </row>
    <row r="1259" spans="4:5" x14ac:dyDescent="0.3">
      <c r="D1259" s="123"/>
      <c r="E1259" s="15"/>
    </row>
    <row r="1260" spans="4:5" x14ac:dyDescent="0.3">
      <c r="D1260" s="123"/>
      <c r="E1260" s="15"/>
    </row>
    <row r="1261" spans="4:5" x14ac:dyDescent="0.3">
      <c r="D1261" s="123"/>
      <c r="E1261" s="15"/>
    </row>
    <row r="1262" spans="4:5" x14ac:dyDescent="0.3">
      <c r="D1262" s="123"/>
      <c r="E1262" s="15"/>
    </row>
    <row r="1263" spans="4:5" x14ac:dyDescent="0.3">
      <c r="D1263" s="123"/>
      <c r="E1263" s="15"/>
    </row>
    <row r="1264" spans="4:5" x14ac:dyDescent="0.3">
      <c r="D1264" s="123"/>
      <c r="E1264" s="15"/>
    </row>
    <row r="1265" spans="4:5" x14ac:dyDescent="0.3">
      <c r="D1265" s="123"/>
      <c r="E1265" s="15"/>
    </row>
    <row r="1266" spans="4:5" x14ac:dyDescent="0.3">
      <c r="D1266" s="123"/>
      <c r="E1266" s="15"/>
    </row>
    <row r="1267" spans="4:5" x14ac:dyDescent="0.3">
      <c r="D1267" s="123"/>
      <c r="E1267" s="15"/>
    </row>
    <row r="1268" spans="4:5" x14ac:dyDescent="0.3">
      <c r="D1268" s="123"/>
      <c r="E1268" s="15"/>
    </row>
    <row r="1269" spans="4:5" x14ac:dyDescent="0.3">
      <c r="D1269" s="123"/>
      <c r="E1269" s="15"/>
    </row>
    <row r="1270" spans="4:5" x14ac:dyDescent="0.3">
      <c r="D1270" s="123"/>
      <c r="E1270" s="15"/>
    </row>
    <row r="1271" spans="4:5" x14ac:dyDescent="0.3">
      <c r="D1271" s="123"/>
      <c r="E1271" s="15"/>
    </row>
    <row r="1272" spans="4:5" x14ac:dyDescent="0.3">
      <c r="D1272" s="123"/>
      <c r="E1272" s="15"/>
    </row>
    <row r="1273" spans="4:5" x14ac:dyDescent="0.3">
      <c r="D1273" s="123"/>
      <c r="E1273" s="15"/>
    </row>
    <row r="1274" spans="4:5" x14ac:dyDescent="0.3">
      <c r="D1274" s="123"/>
      <c r="E1274" s="15"/>
    </row>
    <row r="1275" spans="4:5" x14ac:dyDescent="0.3">
      <c r="D1275" s="123"/>
      <c r="E1275" s="15"/>
    </row>
    <row r="1276" spans="4:5" x14ac:dyDescent="0.3">
      <c r="D1276" s="123"/>
      <c r="E1276" s="15"/>
    </row>
    <row r="1277" spans="4:5" x14ac:dyDescent="0.3">
      <c r="D1277" s="123"/>
      <c r="E1277" s="15"/>
    </row>
    <row r="1278" spans="4:5" x14ac:dyDescent="0.3">
      <c r="D1278" s="123"/>
      <c r="E1278" s="15"/>
    </row>
    <row r="1279" spans="4:5" x14ac:dyDescent="0.3">
      <c r="D1279" s="123"/>
      <c r="E1279" s="15"/>
    </row>
    <row r="1280" spans="4:5" x14ac:dyDescent="0.3">
      <c r="D1280" s="123"/>
      <c r="E1280" s="15"/>
    </row>
    <row r="1281" spans="4:5" x14ac:dyDescent="0.3">
      <c r="D1281" s="123"/>
      <c r="E1281" s="15"/>
    </row>
    <row r="1282" spans="4:5" x14ac:dyDescent="0.3">
      <c r="D1282" s="123"/>
      <c r="E1282" s="15"/>
    </row>
    <row r="1283" spans="4:5" x14ac:dyDescent="0.3">
      <c r="D1283" s="123"/>
      <c r="E1283" s="15"/>
    </row>
    <row r="1284" spans="4:5" x14ac:dyDescent="0.3">
      <c r="D1284" s="123"/>
      <c r="E1284" s="15"/>
    </row>
    <row r="1285" spans="4:5" x14ac:dyDescent="0.3">
      <c r="D1285" s="123"/>
      <c r="E1285" s="15"/>
    </row>
    <row r="1286" spans="4:5" x14ac:dyDescent="0.3">
      <c r="D1286" s="123"/>
      <c r="E1286" s="15"/>
    </row>
    <row r="1287" spans="4:5" x14ac:dyDescent="0.3">
      <c r="D1287" s="123"/>
      <c r="E1287" s="15"/>
    </row>
    <row r="1288" spans="4:5" x14ac:dyDescent="0.3">
      <c r="D1288" s="123"/>
      <c r="E1288" s="15"/>
    </row>
    <row r="1289" spans="4:5" x14ac:dyDescent="0.3">
      <c r="D1289" s="123"/>
      <c r="E1289" s="15"/>
    </row>
    <row r="1290" spans="4:5" x14ac:dyDescent="0.3">
      <c r="D1290" s="123"/>
      <c r="E1290" s="15"/>
    </row>
    <row r="1291" spans="4:5" x14ac:dyDescent="0.3">
      <c r="D1291" s="123"/>
      <c r="E1291" s="15"/>
    </row>
    <row r="1292" spans="4:5" x14ac:dyDescent="0.3">
      <c r="D1292" s="123"/>
      <c r="E1292" s="15"/>
    </row>
    <row r="1293" spans="4:5" x14ac:dyDescent="0.3">
      <c r="D1293" s="123"/>
      <c r="E1293" s="15"/>
    </row>
    <row r="1294" spans="4:5" x14ac:dyDescent="0.3">
      <c r="D1294" s="123"/>
      <c r="E1294" s="15"/>
    </row>
    <row r="1295" spans="4:5" x14ac:dyDescent="0.3">
      <c r="D1295" s="123"/>
      <c r="E1295" s="15"/>
    </row>
    <row r="1296" spans="4:5" x14ac:dyDescent="0.3">
      <c r="D1296" s="123"/>
      <c r="E1296" s="15"/>
    </row>
    <row r="1297" spans="4:5" x14ac:dyDescent="0.3">
      <c r="D1297" s="123"/>
      <c r="E1297" s="15"/>
    </row>
    <row r="1298" spans="4:5" x14ac:dyDescent="0.3">
      <c r="D1298" s="123"/>
      <c r="E1298" s="15"/>
    </row>
    <row r="1299" spans="4:5" x14ac:dyDescent="0.3">
      <c r="D1299" s="123"/>
      <c r="E1299" s="15"/>
    </row>
    <row r="1300" spans="4:5" x14ac:dyDescent="0.3">
      <c r="D1300" s="123"/>
      <c r="E1300" s="15"/>
    </row>
    <row r="1301" spans="4:5" x14ac:dyDescent="0.3">
      <c r="D1301" s="123"/>
      <c r="E1301" s="15"/>
    </row>
    <row r="1302" spans="4:5" x14ac:dyDescent="0.3">
      <c r="D1302" s="123"/>
      <c r="E1302" s="15"/>
    </row>
    <row r="1303" spans="4:5" x14ac:dyDescent="0.3">
      <c r="D1303" s="123"/>
      <c r="E1303" s="15"/>
    </row>
    <row r="1304" spans="4:5" x14ac:dyDescent="0.3">
      <c r="D1304" s="123"/>
      <c r="E1304" s="15"/>
    </row>
    <row r="1305" spans="4:5" x14ac:dyDescent="0.3">
      <c r="D1305" s="123"/>
      <c r="E1305" s="15"/>
    </row>
    <row r="1306" spans="4:5" x14ac:dyDescent="0.3">
      <c r="D1306" s="123"/>
      <c r="E1306" s="15"/>
    </row>
    <row r="1307" spans="4:5" x14ac:dyDescent="0.3">
      <c r="D1307" s="123"/>
      <c r="E1307" s="15"/>
    </row>
    <row r="1308" spans="4:5" x14ac:dyDescent="0.3">
      <c r="D1308" s="123"/>
      <c r="E1308" s="15"/>
    </row>
    <row r="1309" spans="4:5" x14ac:dyDescent="0.3">
      <c r="D1309" s="123"/>
      <c r="E1309" s="15"/>
    </row>
    <row r="1310" spans="4:5" x14ac:dyDescent="0.3">
      <c r="D1310" s="123"/>
      <c r="E1310" s="15"/>
    </row>
    <row r="1311" spans="4:5" x14ac:dyDescent="0.3">
      <c r="D1311" s="123"/>
      <c r="E1311" s="15"/>
    </row>
    <row r="1312" spans="4:5" x14ac:dyDescent="0.3">
      <c r="D1312" s="123"/>
      <c r="E1312" s="15"/>
    </row>
    <row r="1313" spans="4:5" x14ac:dyDescent="0.3">
      <c r="D1313" s="123"/>
      <c r="E1313" s="15"/>
    </row>
    <row r="1314" spans="4:5" x14ac:dyDescent="0.3">
      <c r="D1314" s="123"/>
      <c r="E1314" s="15"/>
    </row>
    <row r="1315" spans="4:5" x14ac:dyDescent="0.3">
      <c r="D1315" s="123"/>
      <c r="E1315" s="15"/>
    </row>
    <row r="1316" spans="4:5" x14ac:dyDescent="0.3">
      <c r="D1316" s="123"/>
      <c r="E1316" s="15"/>
    </row>
    <row r="1317" spans="4:5" x14ac:dyDescent="0.3">
      <c r="D1317" s="123"/>
      <c r="E1317" s="15"/>
    </row>
    <row r="1318" spans="4:5" x14ac:dyDescent="0.3">
      <c r="D1318" s="123"/>
      <c r="E1318" s="15"/>
    </row>
    <row r="1319" spans="4:5" x14ac:dyDescent="0.3">
      <c r="D1319" s="123"/>
      <c r="E1319" s="15"/>
    </row>
    <row r="1320" spans="4:5" x14ac:dyDescent="0.3">
      <c r="D1320" s="123"/>
      <c r="E1320" s="15"/>
    </row>
    <row r="1321" spans="4:5" x14ac:dyDescent="0.3">
      <c r="D1321" s="123"/>
      <c r="E1321" s="15"/>
    </row>
    <row r="1322" spans="4:5" x14ac:dyDescent="0.3">
      <c r="D1322" s="123"/>
      <c r="E1322" s="15"/>
    </row>
    <row r="1323" spans="4:5" x14ac:dyDescent="0.3">
      <c r="D1323" s="123"/>
      <c r="E1323" s="15"/>
    </row>
    <row r="1324" spans="4:5" x14ac:dyDescent="0.3">
      <c r="D1324" s="123"/>
      <c r="E1324" s="15"/>
    </row>
    <row r="1325" spans="4:5" x14ac:dyDescent="0.3">
      <c r="D1325" s="123"/>
      <c r="E1325" s="15"/>
    </row>
    <row r="1326" spans="4:5" x14ac:dyDescent="0.3">
      <c r="D1326" s="123"/>
      <c r="E1326" s="15"/>
    </row>
    <row r="1327" spans="4:5" x14ac:dyDescent="0.3">
      <c r="D1327" s="123"/>
      <c r="E1327" s="15"/>
    </row>
    <row r="1328" spans="4:5" x14ac:dyDescent="0.3">
      <c r="D1328" s="123"/>
      <c r="E1328" s="15"/>
    </row>
    <row r="1329" spans="4:5" x14ac:dyDescent="0.3">
      <c r="D1329" s="123"/>
      <c r="E1329" s="15"/>
    </row>
    <row r="1330" spans="4:5" x14ac:dyDescent="0.3">
      <c r="D1330" s="123"/>
      <c r="E1330" s="15"/>
    </row>
    <row r="1331" spans="4:5" x14ac:dyDescent="0.3">
      <c r="D1331" s="123"/>
      <c r="E1331" s="15"/>
    </row>
    <row r="1332" spans="4:5" x14ac:dyDescent="0.3">
      <c r="D1332" s="123"/>
      <c r="E1332" s="15"/>
    </row>
    <row r="1333" spans="4:5" x14ac:dyDescent="0.3">
      <c r="D1333" s="123"/>
      <c r="E1333" s="15"/>
    </row>
    <row r="1334" spans="4:5" x14ac:dyDescent="0.3">
      <c r="D1334" s="123"/>
      <c r="E1334" s="15"/>
    </row>
    <row r="1335" spans="4:5" x14ac:dyDescent="0.3">
      <c r="D1335" s="123"/>
      <c r="E1335" s="15"/>
    </row>
    <row r="1336" spans="4:5" x14ac:dyDescent="0.3">
      <c r="D1336" s="123"/>
      <c r="E1336" s="15"/>
    </row>
    <row r="1337" spans="4:5" x14ac:dyDescent="0.3">
      <c r="D1337" s="123"/>
      <c r="E1337" s="15"/>
    </row>
    <row r="1338" spans="4:5" x14ac:dyDescent="0.3">
      <c r="D1338" s="123"/>
      <c r="E1338" s="15"/>
    </row>
    <row r="1339" spans="4:5" x14ac:dyDescent="0.3">
      <c r="D1339" s="123"/>
      <c r="E1339" s="15"/>
    </row>
    <row r="1340" spans="4:5" x14ac:dyDescent="0.3">
      <c r="D1340" s="123"/>
      <c r="E1340" s="15"/>
    </row>
    <row r="1341" spans="4:5" x14ac:dyDescent="0.3">
      <c r="D1341" s="123"/>
      <c r="E1341" s="15"/>
    </row>
    <row r="1342" spans="4:5" x14ac:dyDescent="0.3">
      <c r="D1342" s="123"/>
      <c r="E1342" s="15"/>
    </row>
    <row r="1343" spans="4:5" x14ac:dyDescent="0.3">
      <c r="D1343" s="123"/>
      <c r="E1343" s="15"/>
    </row>
    <row r="1344" spans="4:5" x14ac:dyDescent="0.3">
      <c r="D1344" s="123"/>
      <c r="E1344" s="15"/>
    </row>
    <row r="1345" spans="4:5" x14ac:dyDescent="0.3">
      <c r="D1345" s="123"/>
      <c r="E1345" s="15"/>
    </row>
    <row r="1346" spans="4:5" x14ac:dyDescent="0.3">
      <c r="D1346" s="123"/>
      <c r="E1346" s="15"/>
    </row>
    <row r="1347" spans="4:5" x14ac:dyDescent="0.3">
      <c r="D1347" s="123"/>
      <c r="E1347" s="15"/>
    </row>
    <row r="1348" spans="4:5" x14ac:dyDescent="0.3">
      <c r="D1348" s="123"/>
      <c r="E1348" s="15"/>
    </row>
    <row r="1349" spans="4:5" x14ac:dyDescent="0.3">
      <c r="D1349" s="123"/>
      <c r="E1349" s="15"/>
    </row>
    <row r="1350" spans="4:5" x14ac:dyDescent="0.3">
      <c r="D1350" s="123"/>
      <c r="E1350" s="15"/>
    </row>
    <row r="1351" spans="4:5" x14ac:dyDescent="0.3">
      <c r="D1351" s="123"/>
      <c r="E1351" s="15"/>
    </row>
    <row r="1352" spans="4:5" x14ac:dyDescent="0.3">
      <c r="D1352" s="123"/>
      <c r="E1352" s="15"/>
    </row>
    <row r="1353" spans="4:5" x14ac:dyDescent="0.3">
      <c r="D1353" s="123"/>
      <c r="E1353" s="15"/>
    </row>
    <row r="1354" spans="4:5" x14ac:dyDescent="0.3">
      <c r="D1354" s="123"/>
      <c r="E1354" s="15"/>
    </row>
    <row r="1355" spans="4:5" x14ac:dyDescent="0.3">
      <c r="D1355" s="123"/>
      <c r="E1355" s="15"/>
    </row>
    <row r="1356" spans="4:5" x14ac:dyDescent="0.3">
      <c r="D1356" s="123"/>
      <c r="E1356" s="15"/>
    </row>
    <row r="1357" spans="4:5" x14ac:dyDescent="0.3">
      <c r="D1357" s="123"/>
      <c r="E1357" s="15"/>
    </row>
    <row r="1358" spans="4:5" x14ac:dyDescent="0.3">
      <c r="D1358" s="123"/>
      <c r="E1358" s="15"/>
    </row>
    <row r="1359" spans="4:5" x14ac:dyDescent="0.3">
      <c r="D1359" s="123"/>
      <c r="E1359" s="15"/>
    </row>
    <row r="1360" spans="4:5" x14ac:dyDescent="0.3">
      <c r="D1360" s="123"/>
      <c r="E1360" s="15"/>
    </row>
    <row r="1361" spans="4:5" x14ac:dyDescent="0.3">
      <c r="D1361" s="123"/>
      <c r="E1361" s="15"/>
    </row>
    <row r="1362" spans="4:5" x14ac:dyDescent="0.3">
      <c r="D1362" s="123"/>
      <c r="E1362" s="15"/>
    </row>
    <row r="1363" spans="4:5" x14ac:dyDescent="0.3">
      <c r="D1363" s="123"/>
      <c r="E1363" s="15"/>
    </row>
    <row r="1364" spans="4:5" x14ac:dyDescent="0.3">
      <c r="D1364" s="123"/>
      <c r="E1364" s="15"/>
    </row>
    <row r="1365" spans="4:5" x14ac:dyDescent="0.3">
      <c r="D1365" s="123"/>
      <c r="E1365" s="15"/>
    </row>
    <row r="1366" spans="4:5" x14ac:dyDescent="0.3">
      <c r="D1366" s="123"/>
      <c r="E1366" s="15"/>
    </row>
    <row r="1367" spans="4:5" x14ac:dyDescent="0.3">
      <c r="D1367" s="123"/>
      <c r="E1367" s="15"/>
    </row>
    <row r="1368" spans="4:5" x14ac:dyDescent="0.3">
      <c r="D1368" s="123"/>
      <c r="E1368" s="15"/>
    </row>
    <row r="1369" spans="4:5" x14ac:dyDescent="0.3">
      <c r="D1369" s="123"/>
      <c r="E1369" s="15"/>
    </row>
    <row r="1370" spans="4:5" x14ac:dyDescent="0.3">
      <c r="D1370" s="123"/>
      <c r="E1370" s="15"/>
    </row>
    <row r="1371" spans="4:5" x14ac:dyDescent="0.3">
      <c r="D1371" s="123"/>
      <c r="E1371" s="15"/>
    </row>
    <row r="1372" spans="4:5" x14ac:dyDescent="0.3">
      <c r="D1372" s="123"/>
      <c r="E1372" s="15"/>
    </row>
    <row r="1373" spans="4:5" x14ac:dyDescent="0.3">
      <c r="D1373" s="123"/>
      <c r="E1373" s="15"/>
    </row>
    <row r="1374" spans="4:5" x14ac:dyDescent="0.3">
      <c r="D1374" s="123"/>
      <c r="E1374" s="15"/>
    </row>
    <row r="1375" spans="4:5" x14ac:dyDescent="0.3">
      <c r="D1375" s="123"/>
      <c r="E1375" s="15"/>
    </row>
    <row r="1376" spans="4:5" x14ac:dyDescent="0.3">
      <c r="D1376" s="123"/>
      <c r="E1376" s="15"/>
    </row>
    <row r="1377" spans="4:5" x14ac:dyDescent="0.3">
      <c r="D1377" s="123"/>
      <c r="E1377" s="15"/>
    </row>
    <row r="1378" spans="4:5" x14ac:dyDescent="0.3">
      <c r="D1378" s="123"/>
      <c r="E1378" s="15"/>
    </row>
    <row r="1379" spans="4:5" x14ac:dyDescent="0.3">
      <c r="D1379" s="123"/>
      <c r="E1379" s="15"/>
    </row>
    <row r="1380" spans="4:5" x14ac:dyDescent="0.3">
      <c r="D1380" s="123"/>
      <c r="E1380" s="15"/>
    </row>
    <row r="1381" spans="4:5" x14ac:dyDescent="0.3">
      <c r="D1381" s="123"/>
      <c r="E1381" s="15"/>
    </row>
    <row r="1382" spans="4:5" x14ac:dyDescent="0.3">
      <c r="D1382" s="123"/>
      <c r="E1382" s="15"/>
    </row>
    <row r="1383" spans="4:5" x14ac:dyDescent="0.3">
      <c r="D1383" s="123"/>
      <c r="E1383" s="15"/>
    </row>
    <row r="1384" spans="4:5" x14ac:dyDescent="0.3">
      <c r="D1384" s="123"/>
      <c r="E1384" s="15"/>
    </row>
    <row r="1385" spans="4:5" x14ac:dyDescent="0.3">
      <c r="D1385" s="123"/>
      <c r="E1385" s="15"/>
    </row>
    <row r="1386" spans="4:5" x14ac:dyDescent="0.3">
      <c r="D1386" s="123"/>
      <c r="E1386" s="15"/>
    </row>
    <row r="1387" spans="4:5" x14ac:dyDescent="0.3">
      <c r="D1387" s="123"/>
      <c r="E1387" s="15"/>
    </row>
    <row r="1388" spans="4:5" x14ac:dyDescent="0.3">
      <c r="D1388" s="123"/>
      <c r="E1388" s="15"/>
    </row>
    <row r="1389" spans="4:5" x14ac:dyDescent="0.3">
      <c r="D1389" s="123"/>
      <c r="E1389" s="15"/>
    </row>
    <row r="1390" spans="4:5" x14ac:dyDescent="0.3">
      <c r="D1390" s="123"/>
      <c r="E1390" s="15"/>
    </row>
    <row r="1391" spans="4:5" x14ac:dyDescent="0.3">
      <c r="D1391" s="123"/>
      <c r="E1391" s="15"/>
    </row>
    <row r="1392" spans="4:5" x14ac:dyDescent="0.3">
      <c r="D1392" s="123"/>
      <c r="E1392" s="15"/>
    </row>
    <row r="1393" spans="4:5" x14ac:dyDescent="0.3">
      <c r="D1393" s="123"/>
      <c r="E1393" s="15"/>
    </row>
    <row r="1394" spans="4:5" x14ac:dyDescent="0.3">
      <c r="D1394" s="123"/>
      <c r="E1394" s="15"/>
    </row>
    <row r="1395" spans="4:5" x14ac:dyDescent="0.3">
      <c r="D1395" s="123"/>
      <c r="E1395" s="15"/>
    </row>
    <row r="1396" spans="4:5" x14ac:dyDescent="0.3">
      <c r="D1396" s="123"/>
      <c r="E1396" s="15"/>
    </row>
    <row r="1397" spans="4:5" x14ac:dyDescent="0.3">
      <c r="D1397" s="123"/>
      <c r="E1397" s="15"/>
    </row>
    <row r="1398" spans="4:5" x14ac:dyDescent="0.3">
      <c r="D1398" s="123"/>
      <c r="E1398" s="15"/>
    </row>
    <row r="1399" spans="4:5" x14ac:dyDescent="0.3">
      <c r="D1399" s="123"/>
      <c r="E1399" s="15"/>
    </row>
    <row r="1400" spans="4:5" x14ac:dyDescent="0.3">
      <c r="D1400" s="123"/>
      <c r="E1400" s="15"/>
    </row>
    <row r="1401" spans="4:5" x14ac:dyDescent="0.3">
      <c r="D1401" s="123"/>
      <c r="E1401" s="15"/>
    </row>
    <row r="1402" spans="4:5" x14ac:dyDescent="0.3">
      <c r="D1402" s="123"/>
      <c r="E1402" s="15"/>
    </row>
    <row r="1403" spans="4:5" x14ac:dyDescent="0.3">
      <c r="D1403" s="123"/>
      <c r="E1403" s="15"/>
    </row>
    <row r="1404" spans="4:5" x14ac:dyDescent="0.3">
      <c r="D1404" s="123"/>
      <c r="E1404" s="15"/>
    </row>
    <row r="1405" spans="4:5" x14ac:dyDescent="0.3">
      <c r="D1405" s="123"/>
      <c r="E1405" s="15"/>
    </row>
    <row r="1406" spans="4:5" x14ac:dyDescent="0.3">
      <c r="D1406" s="123"/>
      <c r="E1406" s="15"/>
    </row>
    <row r="1407" spans="4:5" x14ac:dyDescent="0.3">
      <c r="D1407" s="123"/>
      <c r="E1407" s="15"/>
    </row>
    <row r="1408" spans="4:5" x14ac:dyDescent="0.3">
      <c r="D1408" s="123"/>
      <c r="E1408" s="15"/>
    </row>
    <row r="1409" spans="4:5" x14ac:dyDescent="0.3">
      <c r="D1409" s="123"/>
      <c r="E1409" s="15"/>
    </row>
    <row r="1410" spans="4:5" x14ac:dyDescent="0.3">
      <c r="D1410" s="123"/>
      <c r="E1410" s="15"/>
    </row>
    <row r="1411" spans="4:5" x14ac:dyDescent="0.3">
      <c r="D1411" s="123"/>
      <c r="E1411" s="15"/>
    </row>
    <row r="1412" spans="4:5" x14ac:dyDescent="0.3">
      <c r="D1412" s="123"/>
      <c r="E1412" s="15"/>
    </row>
    <row r="1413" spans="4:5" x14ac:dyDescent="0.3">
      <c r="D1413" s="123"/>
      <c r="E1413" s="15"/>
    </row>
    <row r="1414" spans="4:5" x14ac:dyDescent="0.3">
      <c r="D1414" s="123"/>
      <c r="E1414" s="15"/>
    </row>
    <row r="1415" spans="4:5" x14ac:dyDescent="0.3">
      <c r="D1415" s="123"/>
      <c r="E1415" s="15"/>
    </row>
    <row r="1416" spans="4:5" x14ac:dyDescent="0.3">
      <c r="D1416" s="123"/>
      <c r="E1416" s="15"/>
    </row>
    <row r="1417" spans="4:5" x14ac:dyDescent="0.3">
      <c r="D1417" s="123"/>
      <c r="E1417" s="15"/>
    </row>
    <row r="1418" spans="4:5" x14ac:dyDescent="0.3">
      <c r="D1418" s="123"/>
      <c r="E1418" s="15"/>
    </row>
    <row r="1419" spans="4:5" x14ac:dyDescent="0.3">
      <c r="D1419" s="123"/>
      <c r="E1419" s="15"/>
    </row>
    <row r="1420" spans="4:5" x14ac:dyDescent="0.3">
      <c r="D1420" s="123"/>
      <c r="E1420" s="15"/>
    </row>
    <row r="1421" spans="4:5" x14ac:dyDescent="0.3">
      <c r="D1421" s="123"/>
      <c r="E1421" s="15"/>
    </row>
    <row r="1422" spans="4:5" x14ac:dyDescent="0.3">
      <c r="D1422" s="123"/>
      <c r="E1422" s="15"/>
    </row>
    <row r="1423" spans="4:5" x14ac:dyDescent="0.3">
      <c r="D1423" s="123"/>
      <c r="E1423" s="15"/>
    </row>
    <row r="1424" spans="4:5" x14ac:dyDescent="0.3">
      <c r="D1424" s="123"/>
      <c r="E1424" s="15"/>
    </row>
    <row r="1425" spans="4:5" x14ac:dyDescent="0.3">
      <c r="D1425" s="123"/>
      <c r="E1425" s="15"/>
    </row>
    <row r="1426" spans="4:5" x14ac:dyDescent="0.3">
      <c r="D1426" s="123"/>
      <c r="E1426" s="15"/>
    </row>
    <row r="1427" spans="4:5" x14ac:dyDescent="0.3">
      <c r="D1427" s="123"/>
      <c r="E1427" s="15"/>
    </row>
    <row r="1428" spans="4:5" x14ac:dyDescent="0.3">
      <c r="D1428" s="123"/>
      <c r="E1428" s="15"/>
    </row>
    <row r="1429" spans="4:5" x14ac:dyDescent="0.3">
      <c r="D1429" s="123"/>
      <c r="E1429" s="15"/>
    </row>
    <row r="1430" spans="4:5" x14ac:dyDescent="0.3">
      <c r="D1430" s="123"/>
      <c r="E1430" s="15"/>
    </row>
    <row r="1431" spans="4:5" x14ac:dyDescent="0.3">
      <c r="D1431" s="123"/>
      <c r="E1431" s="15"/>
    </row>
    <row r="1432" spans="4:5" x14ac:dyDescent="0.3">
      <c r="D1432" s="123"/>
      <c r="E1432" s="15"/>
    </row>
    <row r="1433" spans="4:5" x14ac:dyDescent="0.3">
      <c r="D1433" s="123"/>
      <c r="E1433" s="15"/>
    </row>
    <row r="1434" spans="4:5" x14ac:dyDescent="0.3">
      <c r="D1434" s="123"/>
      <c r="E1434" s="15"/>
    </row>
    <row r="1435" spans="4:5" x14ac:dyDescent="0.3">
      <c r="D1435" s="123"/>
      <c r="E1435" s="15"/>
    </row>
    <row r="1436" spans="4:5" x14ac:dyDescent="0.3">
      <c r="D1436" s="123"/>
      <c r="E1436" s="15"/>
    </row>
    <row r="1437" spans="4:5" x14ac:dyDescent="0.3">
      <c r="D1437" s="123"/>
      <c r="E1437" s="15"/>
    </row>
    <row r="1438" spans="4:5" x14ac:dyDescent="0.3">
      <c r="D1438" s="123"/>
      <c r="E1438" s="15"/>
    </row>
    <row r="1439" spans="4:5" x14ac:dyDescent="0.3">
      <c r="D1439" s="123"/>
      <c r="E1439" s="15"/>
    </row>
    <row r="1440" spans="4:5" x14ac:dyDescent="0.3">
      <c r="D1440" s="123"/>
      <c r="E1440" s="15"/>
    </row>
    <row r="1441" spans="4:5" x14ac:dyDescent="0.3">
      <c r="D1441" s="123"/>
      <c r="E1441" s="15"/>
    </row>
    <row r="1442" spans="4:5" x14ac:dyDescent="0.3">
      <c r="D1442" s="123"/>
      <c r="E1442" s="15"/>
    </row>
    <row r="1443" spans="4:5" x14ac:dyDescent="0.3">
      <c r="D1443" s="123"/>
      <c r="E1443" s="15"/>
    </row>
    <row r="1444" spans="4:5" x14ac:dyDescent="0.3">
      <c r="D1444" s="123"/>
      <c r="E1444" s="15"/>
    </row>
    <row r="1445" spans="4:5" x14ac:dyDescent="0.3">
      <c r="D1445" s="123"/>
      <c r="E1445" s="15"/>
    </row>
    <row r="1446" spans="4:5" x14ac:dyDescent="0.3">
      <c r="D1446" s="123"/>
      <c r="E1446" s="15"/>
    </row>
    <row r="1447" spans="4:5" x14ac:dyDescent="0.3">
      <c r="D1447" s="123"/>
      <c r="E1447" s="15"/>
    </row>
    <row r="1448" spans="4:5" x14ac:dyDescent="0.3">
      <c r="D1448" s="123"/>
      <c r="E1448" s="15"/>
    </row>
    <row r="1449" spans="4:5" x14ac:dyDescent="0.3">
      <c r="D1449" s="123"/>
      <c r="E1449" s="15"/>
    </row>
    <row r="1450" spans="4:5" x14ac:dyDescent="0.3">
      <c r="D1450" s="123"/>
      <c r="E1450" s="15"/>
    </row>
    <row r="1451" spans="4:5" x14ac:dyDescent="0.3">
      <c r="D1451" s="123"/>
      <c r="E1451" s="15"/>
    </row>
    <row r="1452" spans="4:5" x14ac:dyDescent="0.3">
      <c r="D1452" s="123"/>
      <c r="E1452" s="15"/>
    </row>
    <row r="1453" spans="4:5" x14ac:dyDescent="0.3">
      <c r="D1453" s="123"/>
      <c r="E1453" s="15"/>
    </row>
    <row r="1454" spans="4:5" x14ac:dyDescent="0.3">
      <c r="D1454" s="123"/>
      <c r="E1454" s="15"/>
    </row>
    <row r="1455" spans="4:5" x14ac:dyDescent="0.3">
      <c r="D1455" s="123"/>
      <c r="E1455" s="15"/>
    </row>
    <row r="1456" spans="4:5" x14ac:dyDescent="0.3">
      <c r="D1456" s="123"/>
      <c r="E1456" s="15"/>
    </row>
    <row r="1457" spans="4:5" x14ac:dyDescent="0.3">
      <c r="D1457" s="123"/>
      <c r="E1457" s="15"/>
    </row>
    <row r="1458" spans="4:5" x14ac:dyDescent="0.3">
      <c r="D1458" s="123"/>
      <c r="E1458" s="15"/>
    </row>
    <row r="1459" spans="4:5" x14ac:dyDescent="0.3">
      <c r="D1459" s="123"/>
      <c r="E1459" s="15"/>
    </row>
    <row r="1460" spans="4:5" x14ac:dyDescent="0.3">
      <c r="D1460" s="123"/>
      <c r="E1460" s="15"/>
    </row>
    <row r="1461" spans="4:5" x14ac:dyDescent="0.3">
      <c r="D1461" s="123"/>
      <c r="E1461" s="15"/>
    </row>
    <row r="1462" spans="4:5" x14ac:dyDescent="0.3">
      <c r="D1462" s="123"/>
      <c r="E1462" s="15"/>
    </row>
    <row r="1463" spans="4:5" x14ac:dyDescent="0.3">
      <c r="D1463" s="123"/>
      <c r="E1463" s="15"/>
    </row>
    <row r="1464" spans="4:5" x14ac:dyDescent="0.3">
      <c r="D1464" s="123"/>
      <c r="E1464" s="15"/>
    </row>
    <row r="1465" spans="4:5" x14ac:dyDescent="0.3">
      <c r="D1465" s="123"/>
      <c r="E1465" s="15"/>
    </row>
    <row r="1466" spans="4:5" x14ac:dyDescent="0.3">
      <c r="D1466" s="123"/>
      <c r="E1466" s="15"/>
    </row>
    <row r="1467" spans="4:5" x14ac:dyDescent="0.3">
      <c r="D1467" s="123"/>
      <c r="E1467" s="15"/>
    </row>
    <row r="1468" spans="4:5" x14ac:dyDescent="0.3">
      <c r="D1468" s="123"/>
      <c r="E1468" s="15"/>
    </row>
    <row r="1469" spans="4:5" x14ac:dyDescent="0.3">
      <c r="D1469" s="123"/>
      <c r="E1469" s="15"/>
    </row>
    <row r="1470" spans="4:5" x14ac:dyDescent="0.3">
      <c r="D1470" s="123"/>
      <c r="E1470" s="15"/>
    </row>
    <row r="1471" spans="4:5" x14ac:dyDescent="0.3">
      <c r="D1471" s="123"/>
      <c r="E1471" s="15"/>
    </row>
    <row r="1472" spans="4:5" x14ac:dyDescent="0.3">
      <c r="D1472" s="123"/>
      <c r="E1472" s="15"/>
    </row>
    <row r="1473" spans="4:5" x14ac:dyDescent="0.3">
      <c r="D1473" s="123"/>
      <c r="E1473" s="15"/>
    </row>
    <row r="1474" spans="4:5" x14ac:dyDescent="0.3">
      <c r="D1474" s="123"/>
      <c r="E1474" s="15"/>
    </row>
    <row r="1475" spans="4:5" x14ac:dyDescent="0.3">
      <c r="D1475" s="123"/>
      <c r="E1475" s="15"/>
    </row>
    <row r="1476" spans="4:5" x14ac:dyDescent="0.3">
      <c r="D1476" s="123"/>
      <c r="E1476" s="15"/>
    </row>
    <row r="1477" spans="4:5" x14ac:dyDescent="0.3">
      <c r="D1477" s="123"/>
      <c r="E1477" s="15"/>
    </row>
    <row r="1478" spans="4:5" x14ac:dyDescent="0.3">
      <c r="D1478" s="123"/>
      <c r="E1478" s="15"/>
    </row>
    <row r="1479" spans="4:5" x14ac:dyDescent="0.3">
      <c r="D1479" s="123"/>
      <c r="E1479" s="15"/>
    </row>
    <row r="1480" spans="4:5" x14ac:dyDescent="0.3">
      <c r="D1480" s="123"/>
      <c r="E1480" s="15"/>
    </row>
    <row r="1481" spans="4:5" x14ac:dyDescent="0.3">
      <c r="D1481" s="123"/>
      <c r="E1481" s="15"/>
    </row>
    <row r="1482" spans="4:5" x14ac:dyDescent="0.3">
      <c r="D1482" s="123"/>
      <c r="E1482" s="15"/>
    </row>
    <row r="1483" spans="4:5" x14ac:dyDescent="0.3">
      <c r="D1483" s="123"/>
      <c r="E1483" s="15"/>
    </row>
    <row r="1484" spans="4:5" x14ac:dyDescent="0.3">
      <c r="D1484" s="123"/>
      <c r="E1484" s="15"/>
    </row>
    <row r="1485" spans="4:5" x14ac:dyDescent="0.3">
      <c r="D1485" s="123"/>
      <c r="E1485" s="15"/>
    </row>
    <row r="1486" spans="4:5" x14ac:dyDescent="0.3">
      <c r="D1486" s="123"/>
      <c r="E1486" s="15"/>
    </row>
    <row r="1487" spans="4:5" x14ac:dyDescent="0.3">
      <c r="D1487" s="123"/>
      <c r="E1487" s="15"/>
    </row>
    <row r="1488" spans="4:5" x14ac:dyDescent="0.3">
      <c r="D1488" s="123"/>
      <c r="E1488" s="15"/>
    </row>
    <row r="1489" spans="4:5" x14ac:dyDescent="0.3">
      <c r="D1489" s="123"/>
      <c r="E1489" s="15"/>
    </row>
    <row r="1490" spans="4:5" x14ac:dyDescent="0.3">
      <c r="D1490" s="123"/>
      <c r="E1490" s="15"/>
    </row>
    <row r="1491" spans="4:5" x14ac:dyDescent="0.3">
      <c r="D1491" s="123"/>
      <c r="E1491" s="15"/>
    </row>
    <row r="1492" spans="4:5" x14ac:dyDescent="0.3">
      <c r="D1492" s="123"/>
      <c r="E1492" s="15"/>
    </row>
    <row r="1493" spans="4:5" x14ac:dyDescent="0.3">
      <c r="D1493" s="123"/>
      <c r="E1493" s="15"/>
    </row>
    <row r="1494" spans="4:5" x14ac:dyDescent="0.3">
      <c r="D1494" s="123"/>
      <c r="E1494" s="15"/>
    </row>
    <row r="1495" spans="4:5" x14ac:dyDescent="0.3">
      <c r="D1495" s="123"/>
      <c r="E1495" s="15"/>
    </row>
    <row r="1496" spans="4:5" x14ac:dyDescent="0.3">
      <c r="D1496" s="123"/>
      <c r="E1496" s="15"/>
    </row>
    <row r="1497" spans="4:5" x14ac:dyDescent="0.3">
      <c r="D1497" s="123"/>
      <c r="E1497" s="15"/>
    </row>
    <row r="1498" spans="4:5" x14ac:dyDescent="0.3">
      <c r="D1498" s="123"/>
      <c r="E1498" s="15"/>
    </row>
    <row r="1499" spans="4:5" x14ac:dyDescent="0.3">
      <c r="D1499" s="123"/>
      <c r="E1499" s="15"/>
    </row>
    <row r="1500" spans="4:5" x14ac:dyDescent="0.3">
      <c r="D1500" s="123"/>
      <c r="E1500" s="15"/>
    </row>
    <row r="1501" spans="4:5" x14ac:dyDescent="0.3">
      <c r="D1501" s="123"/>
      <c r="E1501" s="15"/>
    </row>
    <row r="1502" spans="4:5" x14ac:dyDescent="0.3">
      <c r="D1502" s="123"/>
      <c r="E1502" s="15"/>
    </row>
    <row r="1503" spans="4:5" x14ac:dyDescent="0.3">
      <c r="D1503" s="123"/>
      <c r="E1503" s="15"/>
    </row>
    <row r="1504" spans="4:5" x14ac:dyDescent="0.3">
      <c r="D1504" s="123"/>
      <c r="E1504" s="15"/>
    </row>
    <row r="1505" spans="4:5" x14ac:dyDescent="0.3">
      <c r="D1505" s="123"/>
      <c r="E1505" s="15"/>
    </row>
    <row r="1506" spans="4:5" x14ac:dyDescent="0.3">
      <c r="D1506" s="123"/>
      <c r="E1506" s="15"/>
    </row>
    <row r="1507" spans="4:5" x14ac:dyDescent="0.3">
      <c r="D1507" s="123"/>
      <c r="E1507" s="15"/>
    </row>
    <row r="1508" spans="4:5" x14ac:dyDescent="0.3">
      <c r="D1508" s="123"/>
      <c r="E1508" s="15"/>
    </row>
    <row r="1509" spans="4:5" x14ac:dyDescent="0.3">
      <c r="D1509" s="123"/>
      <c r="E1509" s="15"/>
    </row>
    <row r="1510" spans="4:5" x14ac:dyDescent="0.3">
      <c r="D1510" s="123"/>
      <c r="E1510" s="15"/>
    </row>
    <row r="1511" spans="4:5" x14ac:dyDescent="0.3">
      <c r="D1511" s="123"/>
      <c r="E1511" s="15"/>
    </row>
    <row r="1512" spans="4:5" x14ac:dyDescent="0.3">
      <c r="D1512" s="123"/>
      <c r="E1512" s="15"/>
    </row>
    <row r="1513" spans="4:5" x14ac:dyDescent="0.3">
      <c r="D1513" s="123"/>
      <c r="E1513" s="15"/>
    </row>
    <row r="1514" spans="4:5" x14ac:dyDescent="0.3">
      <c r="D1514" s="123"/>
      <c r="E1514" s="15"/>
    </row>
    <row r="1515" spans="4:5" x14ac:dyDescent="0.3">
      <c r="D1515" s="123"/>
      <c r="E1515" s="15"/>
    </row>
    <row r="1516" spans="4:5" x14ac:dyDescent="0.3">
      <c r="D1516" s="123"/>
      <c r="E1516" s="15"/>
    </row>
    <row r="1517" spans="4:5" x14ac:dyDescent="0.3">
      <c r="D1517" s="123"/>
      <c r="E1517" s="15"/>
    </row>
    <row r="1518" spans="4:5" x14ac:dyDescent="0.3">
      <c r="D1518" s="123"/>
      <c r="E1518" s="15"/>
    </row>
    <row r="1519" spans="4:5" x14ac:dyDescent="0.3">
      <c r="D1519" s="123"/>
      <c r="E1519" s="15"/>
    </row>
    <row r="1520" spans="4:5" x14ac:dyDescent="0.3">
      <c r="D1520" s="123"/>
      <c r="E1520" s="15"/>
    </row>
    <row r="1521" spans="4:5" x14ac:dyDescent="0.3">
      <c r="D1521" s="123"/>
      <c r="E1521" s="15"/>
    </row>
    <row r="1522" spans="4:5" x14ac:dyDescent="0.3">
      <c r="D1522" s="123"/>
      <c r="E1522" s="15"/>
    </row>
    <row r="1523" spans="4:5" x14ac:dyDescent="0.3">
      <c r="D1523" s="123"/>
      <c r="E1523" s="15"/>
    </row>
    <row r="1524" spans="4:5" x14ac:dyDescent="0.3">
      <c r="D1524" s="123"/>
      <c r="E1524" s="15"/>
    </row>
    <row r="1525" spans="4:5" x14ac:dyDescent="0.3">
      <c r="D1525" s="123"/>
      <c r="E1525" s="15"/>
    </row>
    <row r="1526" spans="4:5" x14ac:dyDescent="0.3">
      <c r="D1526" s="123"/>
      <c r="E1526" s="15"/>
    </row>
    <row r="1527" spans="4:5" x14ac:dyDescent="0.3">
      <c r="D1527" s="123"/>
      <c r="E1527" s="15"/>
    </row>
    <row r="1528" spans="4:5" x14ac:dyDescent="0.3">
      <c r="D1528" s="123"/>
      <c r="E1528" s="15"/>
    </row>
    <row r="1529" spans="4:5" x14ac:dyDescent="0.3">
      <c r="D1529" s="123"/>
      <c r="E1529" s="15"/>
    </row>
    <row r="1530" spans="4:5" x14ac:dyDescent="0.3">
      <c r="D1530" s="123"/>
      <c r="E1530" s="15"/>
    </row>
    <row r="1531" spans="4:5" x14ac:dyDescent="0.3">
      <c r="D1531" s="123"/>
      <c r="E1531" s="15"/>
    </row>
    <row r="1532" spans="4:5" x14ac:dyDescent="0.3">
      <c r="D1532" s="123"/>
      <c r="E1532" s="15"/>
    </row>
    <row r="1533" spans="4:5" x14ac:dyDescent="0.3">
      <c r="D1533" s="123"/>
      <c r="E1533" s="15"/>
    </row>
    <row r="1534" spans="4:5" x14ac:dyDescent="0.3">
      <c r="D1534" s="123"/>
      <c r="E1534" s="15"/>
    </row>
    <row r="1535" spans="4:5" x14ac:dyDescent="0.3">
      <c r="D1535" s="123"/>
      <c r="E1535" s="15"/>
    </row>
    <row r="1536" spans="4:5" x14ac:dyDescent="0.3">
      <c r="D1536" s="123"/>
      <c r="E1536" s="15"/>
    </row>
    <row r="1537" spans="4:5" x14ac:dyDescent="0.3">
      <c r="D1537" s="123"/>
      <c r="E1537" s="15"/>
    </row>
    <row r="1538" spans="4:5" x14ac:dyDescent="0.3">
      <c r="D1538" s="123"/>
      <c r="E1538" s="15"/>
    </row>
    <row r="1539" spans="4:5" x14ac:dyDescent="0.3">
      <c r="D1539" s="123"/>
      <c r="E1539" s="15"/>
    </row>
    <row r="1540" spans="4:5" x14ac:dyDescent="0.3">
      <c r="D1540" s="123"/>
      <c r="E1540" s="15"/>
    </row>
    <row r="1541" spans="4:5" x14ac:dyDescent="0.3">
      <c r="D1541" s="123"/>
      <c r="E1541" s="15"/>
    </row>
    <row r="1542" spans="4:5" x14ac:dyDescent="0.3">
      <c r="D1542" s="123"/>
      <c r="E1542" s="15"/>
    </row>
    <row r="1543" spans="4:5" x14ac:dyDescent="0.3">
      <c r="D1543" s="123"/>
      <c r="E1543" s="15"/>
    </row>
    <row r="1544" spans="4:5" x14ac:dyDescent="0.3">
      <c r="D1544" s="123"/>
      <c r="E1544" s="15"/>
    </row>
    <row r="1545" spans="4:5" x14ac:dyDescent="0.3">
      <c r="D1545" s="123"/>
      <c r="E1545" s="15"/>
    </row>
    <row r="1546" spans="4:5" x14ac:dyDescent="0.3">
      <c r="D1546" s="123"/>
      <c r="E1546" s="15"/>
    </row>
    <row r="1547" spans="4:5" x14ac:dyDescent="0.3">
      <c r="D1547" s="123"/>
      <c r="E1547" s="15"/>
    </row>
    <row r="1548" spans="4:5" x14ac:dyDescent="0.3">
      <c r="D1548" s="123"/>
      <c r="E1548" s="15"/>
    </row>
    <row r="1549" spans="4:5" x14ac:dyDescent="0.3">
      <c r="D1549" s="123"/>
      <c r="E1549" s="15"/>
    </row>
    <row r="1550" spans="4:5" x14ac:dyDescent="0.3">
      <c r="D1550" s="123"/>
      <c r="E1550" s="15"/>
    </row>
    <row r="1551" spans="4:5" x14ac:dyDescent="0.3">
      <c r="D1551" s="123"/>
      <c r="E1551" s="15"/>
    </row>
    <row r="1552" spans="4:5" x14ac:dyDescent="0.3">
      <c r="D1552" s="123"/>
      <c r="E1552" s="15"/>
    </row>
    <row r="1553" spans="4:5" x14ac:dyDescent="0.3">
      <c r="D1553" s="123"/>
      <c r="E1553" s="15"/>
    </row>
    <row r="1554" spans="4:5" x14ac:dyDescent="0.3">
      <c r="D1554" s="123"/>
      <c r="E1554" s="15"/>
    </row>
    <row r="1555" spans="4:5" x14ac:dyDescent="0.3">
      <c r="D1555" s="123"/>
      <c r="E1555" s="15"/>
    </row>
    <row r="1556" spans="4:5" x14ac:dyDescent="0.3">
      <c r="D1556" s="123"/>
      <c r="E1556" s="15"/>
    </row>
    <row r="1557" spans="4:5" x14ac:dyDescent="0.3">
      <c r="D1557" s="123"/>
      <c r="E1557" s="15"/>
    </row>
    <row r="1558" spans="4:5" x14ac:dyDescent="0.3">
      <c r="D1558" s="123"/>
      <c r="E1558" s="15"/>
    </row>
    <row r="1559" spans="4:5" x14ac:dyDescent="0.3">
      <c r="D1559" s="123"/>
      <c r="E1559" s="15"/>
    </row>
    <row r="1560" spans="4:5" x14ac:dyDescent="0.3">
      <c r="D1560" s="123"/>
      <c r="E1560" s="15"/>
    </row>
    <row r="1561" spans="4:5" x14ac:dyDescent="0.3">
      <c r="D1561" s="123"/>
      <c r="E1561" s="15"/>
    </row>
    <row r="1562" spans="4:5" x14ac:dyDescent="0.3">
      <c r="D1562" s="123"/>
      <c r="E1562" s="15"/>
    </row>
    <row r="1563" spans="4:5" x14ac:dyDescent="0.3">
      <c r="D1563" s="123"/>
      <c r="E1563" s="15"/>
    </row>
    <row r="1564" spans="4:5" x14ac:dyDescent="0.3">
      <c r="D1564" s="123"/>
      <c r="E1564" s="15"/>
    </row>
    <row r="1565" spans="4:5" x14ac:dyDescent="0.3">
      <c r="D1565" s="123"/>
      <c r="E1565" s="15"/>
    </row>
    <row r="1566" spans="4:5" x14ac:dyDescent="0.3">
      <c r="D1566" s="123"/>
      <c r="E1566" s="15"/>
    </row>
    <row r="1567" spans="4:5" x14ac:dyDescent="0.3">
      <c r="D1567" s="123"/>
      <c r="E1567" s="15"/>
    </row>
    <row r="1568" spans="4:5" x14ac:dyDescent="0.3">
      <c r="D1568" s="123"/>
      <c r="E1568" s="15"/>
    </row>
    <row r="1569" spans="4:5" x14ac:dyDescent="0.3">
      <c r="D1569" s="123"/>
      <c r="E1569" s="15"/>
    </row>
    <row r="1570" spans="4:5" x14ac:dyDescent="0.3">
      <c r="D1570" s="123"/>
      <c r="E1570" s="15"/>
    </row>
    <row r="1571" spans="4:5" x14ac:dyDescent="0.3">
      <c r="D1571" s="123"/>
      <c r="E1571" s="15"/>
    </row>
    <row r="1572" spans="4:5" x14ac:dyDescent="0.3">
      <c r="D1572" s="123"/>
      <c r="E1572" s="15"/>
    </row>
    <row r="1573" spans="4:5" x14ac:dyDescent="0.3">
      <c r="D1573" s="123"/>
      <c r="E1573" s="15"/>
    </row>
    <row r="1574" spans="4:5" x14ac:dyDescent="0.3">
      <c r="D1574" s="123"/>
      <c r="E1574" s="15"/>
    </row>
    <row r="1575" spans="4:5" x14ac:dyDescent="0.3">
      <c r="D1575" s="123"/>
      <c r="E1575" s="15"/>
    </row>
    <row r="1576" spans="4:5" x14ac:dyDescent="0.3">
      <c r="D1576" s="123"/>
      <c r="E1576" s="15"/>
    </row>
    <row r="1577" spans="4:5" x14ac:dyDescent="0.3">
      <c r="D1577" s="123"/>
      <c r="E1577" s="15"/>
    </row>
    <row r="1578" spans="4:5" x14ac:dyDescent="0.3">
      <c r="D1578" s="123"/>
      <c r="E1578" s="15"/>
    </row>
    <row r="1579" spans="4:5" x14ac:dyDescent="0.3">
      <c r="D1579" s="123"/>
      <c r="E1579" s="15"/>
    </row>
    <row r="1580" spans="4:5" x14ac:dyDescent="0.3">
      <c r="D1580" s="123"/>
      <c r="E1580" s="15"/>
    </row>
    <row r="1581" spans="4:5" x14ac:dyDescent="0.3">
      <c r="D1581" s="123"/>
      <c r="E1581" s="15"/>
    </row>
    <row r="1582" spans="4:5" x14ac:dyDescent="0.3">
      <c r="D1582" s="123"/>
      <c r="E1582" s="15"/>
    </row>
    <row r="1583" spans="4:5" x14ac:dyDescent="0.3">
      <c r="D1583" s="123"/>
      <c r="E1583" s="15"/>
    </row>
    <row r="1584" spans="4:5" x14ac:dyDescent="0.3">
      <c r="D1584" s="123"/>
      <c r="E1584" s="15"/>
    </row>
    <row r="1585" spans="4:5" x14ac:dyDescent="0.3">
      <c r="D1585" s="123"/>
      <c r="E1585" s="15"/>
    </row>
    <row r="1586" spans="4:5" x14ac:dyDescent="0.3">
      <c r="D1586" s="123"/>
      <c r="E1586" s="15"/>
    </row>
    <row r="1587" spans="4:5" x14ac:dyDescent="0.3">
      <c r="D1587" s="123"/>
      <c r="E1587" s="15"/>
    </row>
    <row r="1588" spans="4:5" x14ac:dyDescent="0.3">
      <c r="D1588" s="123"/>
      <c r="E1588" s="15"/>
    </row>
    <row r="1589" spans="4:5" x14ac:dyDescent="0.3">
      <c r="D1589" s="123"/>
      <c r="E1589" s="15"/>
    </row>
    <row r="1590" spans="4:5" x14ac:dyDescent="0.3">
      <c r="D1590" s="123"/>
      <c r="E1590" s="15"/>
    </row>
    <row r="1591" spans="4:5" x14ac:dyDescent="0.3">
      <c r="D1591" s="123"/>
      <c r="E1591" s="15"/>
    </row>
    <row r="1592" spans="4:5" x14ac:dyDescent="0.3">
      <c r="D1592" s="123"/>
      <c r="E1592" s="15"/>
    </row>
    <row r="1593" spans="4:5" x14ac:dyDescent="0.3">
      <c r="D1593" s="123"/>
      <c r="E1593" s="15"/>
    </row>
    <row r="1594" spans="4:5" x14ac:dyDescent="0.3">
      <c r="D1594" s="123"/>
      <c r="E1594" s="15"/>
    </row>
    <row r="1595" spans="4:5" x14ac:dyDescent="0.3">
      <c r="D1595" s="123"/>
      <c r="E1595" s="15"/>
    </row>
    <row r="1596" spans="4:5" x14ac:dyDescent="0.3">
      <c r="D1596" s="123"/>
      <c r="E1596" s="15"/>
    </row>
    <row r="1597" spans="4:5" x14ac:dyDescent="0.3">
      <c r="D1597" s="123"/>
      <c r="E1597" s="15"/>
    </row>
    <row r="1598" spans="4:5" x14ac:dyDescent="0.3">
      <c r="D1598" s="123"/>
      <c r="E1598" s="15"/>
    </row>
    <row r="1599" spans="4:5" x14ac:dyDescent="0.3">
      <c r="D1599" s="123"/>
      <c r="E1599" s="15"/>
    </row>
    <row r="1600" spans="4:5" x14ac:dyDescent="0.3">
      <c r="D1600" s="123"/>
      <c r="E1600" s="15"/>
    </row>
    <row r="1601" spans="4:5" x14ac:dyDescent="0.3">
      <c r="D1601" s="123"/>
      <c r="E1601" s="15"/>
    </row>
    <row r="1602" spans="4:5" x14ac:dyDescent="0.3">
      <c r="D1602" s="123"/>
      <c r="E1602" s="15"/>
    </row>
    <row r="1603" spans="4:5" x14ac:dyDescent="0.3">
      <c r="D1603" s="123"/>
      <c r="E1603" s="15"/>
    </row>
    <row r="1604" spans="4:5" x14ac:dyDescent="0.3">
      <c r="D1604" s="123"/>
      <c r="E1604" s="15"/>
    </row>
    <row r="1605" spans="4:5" x14ac:dyDescent="0.3">
      <c r="D1605" s="123"/>
      <c r="E1605" s="15"/>
    </row>
    <row r="1606" spans="4:5" x14ac:dyDescent="0.3">
      <c r="D1606" s="123"/>
      <c r="E1606" s="15"/>
    </row>
    <row r="1607" spans="4:5" x14ac:dyDescent="0.3">
      <c r="D1607" s="123"/>
      <c r="E1607" s="15"/>
    </row>
    <row r="1608" spans="4:5" x14ac:dyDescent="0.3">
      <c r="D1608" s="123"/>
      <c r="E1608" s="15"/>
    </row>
    <row r="1609" spans="4:5" x14ac:dyDescent="0.3">
      <c r="D1609" s="123"/>
      <c r="E1609" s="15"/>
    </row>
    <row r="1610" spans="4:5" x14ac:dyDescent="0.3">
      <c r="D1610" s="123"/>
      <c r="E1610" s="15"/>
    </row>
    <row r="1611" spans="4:5" x14ac:dyDescent="0.3">
      <c r="D1611" s="123"/>
      <c r="E1611" s="15"/>
    </row>
    <row r="1612" spans="4:5" x14ac:dyDescent="0.3">
      <c r="D1612" s="123"/>
      <c r="E1612" s="15"/>
    </row>
    <row r="1613" spans="4:5" x14ac:dyDescent="0.3">
      <c r="D1613" s="123"/>
      <c r="E1613" s="15"/>
    </row>
    <row r="1614" spans="4:5" x14ac:dyDescent="0.3">
      <c r="D1614" s="123"/>
      <c r="E1614" s="15"/>
    </row>
    <row r="1615" spans="4:5" x14ac:dyDescent="0.3">
      <c r="D1615" s="123"/>
      <c r="E1615" s="15"/>
    </row>
    <row r="1616" spans="4:5" x14ac:dyDescent="0.3">
      <c r="D1616" s="123"/>
      <c r="E1616" s="15"/>
    </row>
    <row r="1617" spans="4:5" x14ac:dyDescent="0.3">
      <c r="D1617" s="123"/>
      <c r="E1617" s="15"/>
    </row>
    <row r="1618" spans="4:5" x14ac:dyDescent="0.3">
      <c r="D1618" s="123"/>
      <c r="E1618" s="15"/>
    </row>
    <row r="1619" spans="4:5" x14ac:dyDescent="0.3">
      <c r="D1619" s="123"/>
      <c r="E1619" s="15"/>
    </row>
    <row r="1620" spans="4:5" x14ac:dyDescent="0.3">
      <c r="D1620" s="123"/>
      <c r="E1620" s="15"/>
    </row>
    <row r="1621" spans="4:5" x14ac:dyDescent="0.3">
      <c r="D1621" s="123"/>
      <c r="E1621" s="15"/>
    </row>
    <row r="1622" spans="4:5" x14ac:dyDescent="0.3">
      <c r="D1622" s="123"/>
      <c r="E1622" s="15"/>
    </row>
    <row r="1623" spans="4:5" x14ac:dyDescent="0.3">
      <c r="D1623" s="123"/>
      <c r="E1623" s="15"/>
    </row>
    <row r="1624" spans="4:5" x14ac:dyDescent="0.3">
      <c r="D1624" s="123"/>
      <c r="E1624" s="15"/>
    </row>
    <row r="1625" spans="4:5" x14ac:dyDescent="0.3">
      <c r="D1625" s="123"/>
      <c r="E1625" s="15"/>
    </row>
    <row r="1626" spans="4:5" x14ac:dyDescent="0.3">
      <c r="D1626" s="123"/>
      <c r="E1626" s="15"/>
    </row>
    <row r="1627" spans="4:5" x14ac:dyDescent="0.3">
      <c r="D1627" s="123"/>
      <c r="E1627" s="15"/>
    </row>
    <row r="1628" spans="4:5" x14ac:dyDescent="0.3">
      <c r="D1628" s="123"/>
      <c r="E1628" s="15"/>
    </row>
    <row r="1629" spans="4:5" x14ac:dyDescent="0.3">
      <c r="D1629" s="123"/>
      <c r="E1629" s="15"/>
    </row>
    <row r="1630" spans="4:5" x14ac:dyDescent="0.3">
      <c r="D1630" s="123"/>
      <c r="E1630" s="15"/>
    </row>
    <row r="1631" spans="4:5" x14ac:dyDescent="0.3">
      <c r="D1631" s="123"/>
      <c r="E1631" s="15"/>
    </row>
    <row r="1632" spans="4:5" x14ac:dyDescent="0.3">
      <c r="D1632" s="123"/>
      <c r="E1632" s="15"/>
    </row>
    <row r="1633" spans="4:5" x14ac:dyDescent="0.3">
      <c r="D1633" s="123"/>
      <c r="E1633" s="15"/>
    </row>
    <row r="1634" spans="4:5" x14ac:dyDescent="0.3">
      <c r="D1634" s="123"/>
      <c r="E1634" s="15"/>
    </row>
    <row r="1635" spans="4:5" x14ac:dyDescent="0.3">
      <c r="D1635" s="123"/>
      <c r="E1635" s="15"/>
    </row>
    <row r="1636" spans="4:5" x14ac:dyDescent="0.3">
      <c r="D1636" s="123"/>
      <c r="E1636" s="15"/>
    </row>
    <row r="1637" spans="4:5" x14ac:dyDescent="0.3">
      <c r="D1637" s="123"/>
      <c r="E1637" s="15"/>
    </row>
    <row r="1638" spans="4:5" x14ac:dyDescent="0.3">
      <c r="D1638" s="123"/>
      <c r="E1638" s="15"/>
    </row>
    <row r="1639" spans="4:5" x14ac:dyDescent="0.3">
      <c r="D1639" s="123"/>
      <c r="E1639" s="15"/>
    </row>
    <row r="1640" spans="4:5" x14ac:dyDescent="0.3">
      <c r="D1640" s="123"/>
      <c r="E1640" s="15"/>
    </row>
    <row r="1641" spans="4:5" x14ac:dyDescent="0.3">
      <c r="D1641" s="123"/>
      <c r="E1641" s="15"/>
    </row>
    <row r="1642" spans="4:5" x14ac:dyDescent="0.3">
      <c r="D1642" s="123"/>
      <c r="E1642" s="15"/>
    </row>
    <row r="1643" spans="4:5" x14ac:dyDescent="0.3">
      <c r="D1643" s="123"/>
      <c r="E1643" s="15"/>
    </row>
    <row r="1644" spans="4:5" x14ac:dyDescent="0.3">
      <c r="D1644" s="123"/>
      <c r="E1644" s="15"/>
    </row>
    <row r="1645" spans="4:5" x14ac:dyDescent="0.3">
      <c r="D1645" s="123"/>
      <c r="E1645" s="15"/>
    </row>
    <row r="1646" spans="4:5" x14ac:dyDescent="0.3">
      <c r="D1646" s="123"/>
      <c r="E1646" s="15"/>
    </row>
    <row r="1647" spans="4:5" x14ac:dyDescent="0.3">
      <c r="D1647" s="123"/>
      <c r="E1647" s="15"/>
    </row>
    <row r="1648" spans="4:5" x14ac:dyDescent="0.3">
      <c r="D1648" s="123"/>
      <c r="E1648" s="15"/>
    </row>
    <row r="1649" spans="4:5" x14ac:dyDescent="0.3">
      <c r="D1649" s="123"/>
      <c r="E1649" s="15"/>
    </row>
    <row r="1650" spans="4:5" x14ac:dyDescent="0.3">
      <c r="D1650" s="123"/>
      <c r="E1650" s="15"/>
    </row>
    <row r="1651" spans="4:5" x14ac:dyDescent="0.3">
      <c r="D1651" s="123"/>
      <c r="E1651" s="15"/>
    </row>
    <row r="1652" spans="4:5" x14ac:dyDescent="0.3">
      <c r="D1652" s="123"/>
      <c r="E1652" s="15"/>
    </row>
    <row r="1653" spans="4:5" x14ac:dyDescent="0.3">
      <c r="D1653" s="123"/>
      <c r="E1653" s="15"/>
    </row>
    <row r="1654" spans="4:5" x14ac:dyDescent="0.3">
      <c r="D1654" s="123"/>
      <c r="E1654" s="15"/>
    </row>
    <row r="1655" spans="4:5" x14ac:dyDescent="0.3">
      <c r="D1655" s="123"/>
      <c r="E1655" s="15"/>
    </row>
    <row r="1656" spans="4:5" x14ac:dyDescent="0.3">
      <c r="D1656" s="123"/>
      <c r="E1656" s="15"/>
    </row>
    <row r="1657" spans="4:5" x14ac:dyDescent="0.3">
      <c r="D1657" s="123"/>
      <c r="E1657" s="15"/>
    </row>
    <row r="1658" spans="4:5" x14ac:dyDescent="0.3">
      <c r="D1658" s="123"/>
      <c r="E1658" s="15"/>
    </row>
    <row r="1659" spans="4:5" x14ac:dyDescent="0.3">
      <c r="D1659" s="123"/>
      <c r="E1659" s="15"/>
    </row>
    <row r="1660" spans="4:5" x14ac:dyDescent="0.3">
      <c r="D1660" s="123"/>
      <c r="E1660" s="15"/>
    </row>
    <row r="1661" spans="4:5" x14ac:dyDescent="0.3">
      <c r="D1661" s="123"/>
      <c r="E1661" s="15"/>
    </row>
    <row r="1662" spans="4:5" x14ac:dyDescent="0.3">
      <c r="D1662" s="123"/>
      <c r="E1662" s="15"/>
    </row>
    <row r="1663" spans="4:5" x14ac:dyDescent="0.3">
      <c r="D1663" s="123"/>
      <c r="E1663" s="15"/>
    </row>
    <row r="1664" spans="4:5" x14ac:dyDescent="0.3">
      <c r="D1664" s="123"/>
      <c r="E1664" s="15"/>
    </row>
    <row r="1665" spans="4:5" x14ac:dyDescent="0.3">
      <c r="D1665" s="123"/>
      <c r="E1665" s="15"/>
    </row>
    <row r="1666" spans="4:5" x14ac:dyDescent="0.3">
      <c r="D1666" s="123"/>
      <c r="E1666" s="15"/>
    </row>
    <row r="1667" spans="4:5" x14ac:dyDescent="0.3">
      <c r="D1667" s="123"/>
      <c r="E1667" s="15"/>
    </row>
    <row r="1668" spans="4:5" x14ac:dyDescent="0.3">
      <c r="D1668" s="123"/>
      <c r="E1668" s="15"/>
    </row>
    <row r="1669" spans="4:5" x14ac:dyDescent="0.3">
      <c r="D1669" s="123"/>
      <c r="E1669" s="15"/>
    </row>
    <row r="1670" spans="4:5" x14ac:dyDescent="0.3">
      <c r="D1670" s="123"/>
      <c r="E1670" s="15"/>
    </row>
    <row r="1671" spans="4:5" x14ac:dyDescent="0.3">
      <c r="D1671" s="123"/>
      <c r="E1671" s="15"/>
    </row>
    <row r="1672" spans="4:5" x14ac:dyDescent="0.3">
      <c r="D1672" s="123"/>
      <c r="E1672" s="15"/>
    </row>
    <row r="1673" spans="4:5" x14ac:dyDescent="0.3">
      <c r="D1673" s="123"/>
      <c r="E1673" s="15"/>
    </row>
    <row r="1674" spans="4:5" x14ac:dyDescent="0.3">
      <c r="D1674" s="123"/>
      <c r="E1674" s="15"/>
    </row>
    <row r="1675" spans="4:5" x14ac:dyDescent="0.3">
      <c r="D1675" s="123"/>
      <c r="E1675" s="15"/>
    </row>
    <row r="1676" spans="4:5" x14ac:dyDescent="0.3">
      <c r="D1676" s="123"/>
      <c r="E1676" s="15"/>
    </row>
    <row r="1677" spans="4:5" x14ac:dyDescent="0.3">
      <c r="D1677" s="123"/>
      <c r="E1677" s="15"/>
    </row>
    <row r="1678" spans="4:5" x14ac:dyDescent="0.3">
      <c r="D1678" s="123"/>
      <c r="E1678" s="15"/>
    </row>
    <row r="1679" spans="4:5" x14ac:dyDescent="0.3">
      <c r="D1679" s="123"/>
      <c r="E1679" s="15"/>
    </row>
    <row r="1680" spans="4:5" x14ac:dyDescent="0.3">
      <c r="D1680" s="123"/>
      <c r="E1680" s="15"/>
    </row>
    <row r="1681" spans="4:5" x14ac:dyDescent="0.3">
      <c r="D1681" s="123"/>
      <c r="E1681" s="15"/>
    </row>
    <row r="1682" spans="4:5" x14ac:dyDescent="0.3">
      <c r="D1682" s="123"/>
      <c r="E1682" s="15"/>
    </row>
    <row r="1683" spans="4:5" x14ac:dyDescent="0.3">
      <c r="D1683" s="123"/>
      <c r="E1683" s="15"/>
    </row>
    <row r="1684" spans="4:5" x14ac:dyDescent="0.3">
      <c r="D1684" s="123"/>
      <c r="E1684" s="15"/>
    </row>
    <row r="1685" spans="4:5" x14ac:dyDescent="0.3">
      <c r="D1685" s="123"/>
      <c r="E1685" s="15"/>
    </row>
    <row r="1686" spans="4:5" x14ac:dyDescent="0.3">
      <c r="D1686" s="123"/>
      <c r="E1686" s="15"/>
    </row>
    <row r="1687" spans="4:5" x14ac:dyDescent="0.3">
      <c r="D1687" s="123"/>
      <c r="E1687" s="15"/>
    </row>
    <row r="1688" spans="4:5" x14ac:dyDescent="0.3">
      <c r="D1688" s="123"/>
      <c r="E1688" s="15"/>
    </row>
    <row r="1689" spans="4:5" x14ac:dyDescent="0.3">
      <c r="D1689" s="123"/>
      <c r="E1689" s="15"/>
    </row>
    <row r="1690" spans="4:5" x14ac:dyDescent="0.3">
      <c r="D1690" s="123"/>
      <c r="E1690" s="15"/>
    </row>
    <row r="1691" spans="4:5" x14ac:dyDescent="0.3">
      <c r="D1691" s="123"/>
      <c r="E1691" s="15"/>
    </row>
    <row r="1692" spans="4:5" x14ac:dyDescent="0.3">
      <c r="D1692" s="123"/>
      <c r="E1692" s="15"/>
    </row>
    <row r="1693" spans="4:5" x14ac:dyDescent="0.3">
      <c r="D1693" s="123"/>
      <c r="E1693" s="15"/>
    </row>
    <row r="1694" spans="4:5" x14ac:dyDescent="0.3">
      <c r="D1694" s="123"/>
      <c r="E1694" s="15"/>
    </row>
    <row r="1695" spans="4:5" x14ac:dyDescent="0.3">
      <c r="D1695" s="123"/>
      <c r="E1695" s="15"/>
    </row>
    <row r="1696" spans="4:5" x14ac:dyDescent="0.3">
      <c r="D1696" s="123"/>
      <c r="E1696" s="15"/>
    </row>
    <row r="1697" spans="4:5" x14ac:dyDescent="0.3">
      <c r="D1697" s="123"/>
      <c r="E1697" s="15"/>
    </row>
    <row r="1698" spans="4:5" x14ac:dyDescent="0.3">
      <c r="D1698" s="123"/>
      <c r="E1698" s="15"/>
    </row>
    <row r="1699" spans="4:5" x14ac:dyDescent="0.3">
      <c r="D1699" s="123"/>
      <c r="E1699" s="15"/>
    </row>
    <row r="1700" spans="4:5" x14ac:dyDescent="0.3">
      <c r="D1700" s="123"/>
      <c r="E1700" s="15"/>
    </row>
    <row r="1701" spans="4:5" x14ac:dyDescent="0.3">
      <c r="D1701" s="123"/>
      <c r="E1701" s="15"/>
    </row>
    <row r="1702" spans="4:5" x14ac:dyDescent="0.3">
      <c r="D1702" s="123"/>
      <c r="E1702" s="15"/>
    </row>
    <row r="1703" spans="4:5" x14ac:dyDescent="0.3">
      <c r="D1703" s="123"/>
      <c r="E1703" s="15"/>
    </row>
    <row r="1704" spans="4:5" x14ac:dyDescent="0.3">
      <c r="D1704" s="123"/>
      <c r="E1704" s="15"/>
    </row>
    <row r="1705" spans="4:5" x14ac:dyDescent="0.3">
      <c r="D1705" s="123"/>
      <c r="E1705" s="15"/>
    </row>
    <row r="1706" spans="4:5" x14ac:dyDescent="0.3">
      <c r="D1706" s="123"/>
      <c r="E1706" s="15"/>
    </row>
    <row r="1707" spans="4:5" x14ac:dyDescent="0.3">
      <c r="D1707" s="123"/>
      <c r="E1707" s="15"/>
    </row>
    <row r="1708" spans="4:5" x14ac:dyDescent="0.3">
      <c r="D1708" s="123"/>
      <c r="E1708" s="15"/>
    </row>
    <row r="1709" spans="4:5" x14ac:dyDescent="0.3">
      <c r="D1709" s="123"/>
      <c r="E1709" s="15"/>
    </row>
    <row r="1710" spans="4:5" x14ac:dyDescent="0.3">
      <c r="D1710" s="123"/>
      <c r="E1710" s="15"/>
    </row>
    <row r="1711" spans="4:5" x14ac:dyDescent="0.3">
      <c r="D1711" s="123"/>
      <c r="E1711" s="15"/>
    </row>
    <row r="1712" spans="4:5" x14ac:dyDescent="0.3">
      <c r="D1712" s="123"/>
      <c r="E1712" s="15"/>
    </row>
    <row r="1713" spans="4:5" x14ac:dyDescent="0.3">
      <c r="D1713" s="123"/>
      <c r="E1713" s="15"/>
    </row>
    <row r="1714" spans="4:5" x14ac:dyDescent="0.3">
      <c r="D1714" s="123"/>
      <c r="E1714" s="15"/>
    </row>
    <row r="1715" spans="4:5" x14ac:dyDescent="0.3">
      <c r="D1715" s="123"/>
      <c r="E1715" s="15"/>
    </row>
    <row r="1716" spans="4:5" x14ac:dyDescent="0.3">
      <c r="D1716" s="123"/>
      <c r="E1716" s="15"/>
    </row>
    <row r="1717" spans="4:5" x14ac:dyDescent="0.3">
      <c r="D1717" s="123"/>
      <c r="E1717" s="15"/>
    </row>
    <row r="1718" spans="4:5" x14ac:dyDescent="0.3">
      <c r="D1718" s="123"/>
      <c r="E1718" s="15"/>
    </row>
    <row r="1719" spans="4:5" x14ac:dyDescent="0.3">
      <c r="D1719" s="123"/>
      <c r="E1719" s="15"/>
    </row>
    <row r="1720" spans="4:5" x14ac:dyDescent="0.3">
      <c r="D1720" s="123"/>
      <c r="E1720" s="15"/>
    </row>
    <row r="1721" spans="4:5" x14ac:dyDescent="0.3">
      <c r="D1721" s="123"/>
      <c r="E1721" s="15"/>
    </row>
    <row r="1722" spans="4:5" x14ac:dyDescent="0.3">
      <c r="D1722" s="123"/>
      <c r="E1722" s="15"/>
    </row>
    <row r="1723" spans="4:5" x14ac:dyDescent="0.3">
      <c r="D1723" s="123"/>
      <c r="E1723" s="15"/>
    </row>
    <row r="1724" spans="4:5" x14ac:dyDescent="0.3">
      <c r="D1724" s="123"/>
      <c r="E1724" s="15"/>
    </row>
    <row r="1725" spans="4:5" x14ac:dyDescent="0.3">
      <c r="D1725" s="123"/>
      <c r="E1725" s="15"/>
    </row>
    <row r="1726" spans="4:5" x14ac:dyDescent="0.3">
      <c r="D1726" s="123"/>
      <c r="E1726" s="15"/>
    </row>
    <row r="1727" spans="4:5" x14ac:dyDescent="0.3">
      <c r="D1727" s="123"/>
      <c r="E1727" s="15"/>
    </row>
    <row r="1728" spans="4:5" x14ac:dyDescent="0.3">
      <c r="D1728" s="123"/>
      <c r="E1728" s="15"/>
    </row>
    <row r="1729" spans="4:5" x14ac:dyDescent="0.3">
      <c r="D1729" s="123"/>
      <c r="E1729" s="15"/>
    </row>
    <row r="1730" spans="4:5" x14ac:dyDescent="0.3">
      <c r="D1730" s="123"/>
      <c r="E1730" s="15"/>
    </row>
    <row r="1731" spans="4:5" x14ac:dyDescent="0.3">
      <c r="D1731" s="123"/>
      <c r="E1731" s="15"/>
    </row>
    <row r="1732" spans="4:5" x14ac:dyDescent="0.3">
      <c r="D1732" s="123"/>
      <c r="E1732" s="15"/>
    </row>
    <row r="1733" spans="4:5" x14ac:dyDescent="0.3">
      <c r="D1733" s="123"/>
      <c r="E1733" s="15"/>
    </row>
    <row r="1734" spans="4:5" x14ac:dyDescent="0.3">
      <c r="D1734" s="123"/>
      <c r="E1734" s="15"/>
    </row>
    <row r="1735" spans="4:5" x14ac:dyDescent="0.3">
      <c r="D1735" s="123"/>
      <c r="E1735" s="15"/>
    </row>
    <row r="1736" spans="4:5" x14ac:dyDescent="0.3">
      <c r="D1736" s="123"/>
      <c r="E1736" s="15"/>
    </row>
    <row r="1737" spans="4:5" x14ac:dyDescent="0.3">
      <c r="D1737" s="123"/>
      <c r="E1737" s="15"/>
    </row>
    <row r="1738" spans="4:5" x14ac:dyDescent="0.3">
      <c r="D1738" s="123"/>
      <c r="E1738" s="15"/>
    </row>
    <row r="1739" spans="4:5" x14ac:dyDescent="0.3">
      <c r="D1739" s="123"/>
      <c r="E1739" s="15"/>
    </row>
    <row r="1740" spans="4:5" x14ac:dyDescent="0.3">
      <c r="D1740" s="123"/>
      <c r="E1740" s="15"/>
    </row>
    <row r="1741" spans="4:5" x14ac:dyDescent="0.3">
      <c r="D1741" s="123"/>
      <c r="E1741" s="15"/>
    </row>
    <row r="1742" spans="4:5" x14ac:dyDescent="0.3">
      <c r="D1742" s="123"/>
      <c r="E1742" s="15"/>
    </row>
    <row r="1743" spans="4:5" x14ac:dyDescent="0.3">
      <c r="D1743" s="123"/>
      <c r="E1743" s="15"/>
    </row>
    <row r="1744" spans="4:5" x14ac:dyDescent="0.3">
      <c r="D1744" s="123"/>
      <c r="E1744" s="15"/>
    </row>
    <row r="1745" spans="4:5" x14ac:dyDescent="0.3">
      <c r="D1745" s="123"/>
      <c r="E1745" s="15"/>
    </row>
    <row r="1746" spans="4:5" x14ac:dyDescent="0.3">
      <c r="D1746" s="123"/>
      <c r="E1746" s="15"/>
    </row>
    <row r="1747" spans="4:5" x14ac:dyDescent="0.3">
      <c r="D1747" s="123"/>
      <c r="E1747" s="15"/>
    </row>
    <row r="1748" spans="4:5" x14ac:dyDescent="0.3">
      <c r="D1748" s="123"/>
      <c r="E1748" s="15"/>
    </row>
    <row r="1749" spans="4:5" x14ac:dyDescent="0.3">
      <c r="D1749" s="123"/>
      <c r="E1749" s="15"/>
    </row>
    <row r="1750" spans="4:5" x14ac:dyDescent="0.3">
      <c r="D1750" s="123"/>
      <c r="E1750" s="15"/>
    </row>
    <row r="1751" spans="4:5" x14ac:dyDescent="0.3">
      <c r="D1751" s="123"/>
      <c r="E1751" s="15"/>
    </row>
    <row r="1752" spans="4:5" x14ac:dyDescent="0.3">
      <c r="D1752" s="123"/>
      <c r="E1752" s="15"/>
    </row>
    <row r="1753" spans="4:5" x14ac:dyDescent="0.3">
      <c r="D1753" s="123"/>
      <c r="E1753" s="15"/>
    </row>
    <row r="1754" spans="4:5" x14ac:dyDescent="0.3">
      <c r="D1754" s="123"/>
      <c r="E1754" s="15"/>
    </row>
    <row r="1755" spans="4:5" x14ac:dyDescent="0.3">
      <c r="D1755" s="123"/>
      <c r="E1755" s="15"/>
    </row>
    <row r="1756" spans="4:5" x14ac:dyDescent="0.3">
      <c r="D1756" s="123"/>
      <c r="E1756" s="15"/>
    </row>
    <row r="1757" spans="4:5" x14ac:dyDescent="0.3">
      <c r="D1757" s="123"/>
      <c r="E1757" s="15"/>
    </row>
    <row r="1758" spans="4:5" x14ac:dyDescent="0.3">
      <c r="D1758" s="123"/>
      <c r="E1758" s="15"/>
    </row>
    <row r="1759" spans="4:5" x14ac:dyDescent="0.3">
      <c r="D1759" s="123"/>
      <c r="E1759" s="15"/>
    </row>
    <row r="1760" spans="4:5" x14ac:dyDescent="0.3">
      <c r="D1760" s="123"/>
      <c r="E1760" s="15"/>
    </row>
    <row r="1761" spans="4:5" x14ac:dyDescent="0.3">
      <c r="D1761" s="123"/>
      <c r="E1761" s="15"/>
    </row>
    <row r="1762" spans="4:5" x14ac:dyDescent="0.3">
      <c r="D1762" s="123"/>
      <c r="E1762" s="15"/>
    </row>
    <row r="1763" spans="4:5" x14ac:dyDescent="0.3">
      <c r="D1763" s="123"/>
      <c r="E1763" s="15"/>
    </row>
    <row r="1764" spans="4:5" x14ac:dyDescent="0.3">
      <c r="D1764" s="123"/>
      <c r="E1764" s="15"/>
    </row>
    <row r="1765" spans="4:5" x14ac:dyDescent="0.3">
      <c r="D1765" s="123"/>
      <c r="E1765" s="15"/>
    </row>
    <row r="1766" spans="4:5" x14ac:dyDescent="0.3">
      <c r="D1766" s="123"/>
      <c r="E1766" s="15"/>
    </row>
    <row r="1767" spans="4:5" x14ac:dyDescent="0.3">
      <c r="D1767" s="123"/>
      <c r="E1767" s="15"/>
    </row>
    <row r="1768" spans="4:5" x14ac:dyDescent="0.3">
      <c r="D1768" s="123"/>
      <c r="E1768" s="15"/>
    </row>
    <row r="1769" spans="4:5" x14ac:dyDescent="0.3">
      <c r="D1769" s="123"/>
      <c r="E1769" s="15"/>
    </row>
    <row r="1770" spans="4:5" x14ac:dyDescent="0.3">
      <c r="D1770" s="123"/>
      <c r="E1770" s="15"/>
    </row>
    <row r="1771" spans="4:5" x14ac:dyDescent="0.3">
      <c r="D1771" s="123"/>
      <c r="E1771" s="15"/>
    </row>
    <row r="1772" spans="4:5" x14ac:dyDescent="0.3">
      <c r="D1772" s="123"/>
      <c r="E1772" s="15"/>
    </row>
    <row r="1773" spans="4:5" x14ac:dyDescent="0.3">
      <c r="D1773" s="123"/>
      <c r="E1773" s="15"/>
    </row>
    <row r="1774" spans="4:5" x14ac:dyDescent="0.3">
      <c r="D1774" s="123"/>
      <c r="E1774" s="15"/>
    </row>
    <row r="1775" spans="4:5" x14ac:dyDescent="0.3">
      <c r="D1775" s="123"/>
      <c r="E1775" s="15"/>
    </row>
    <row r="1776" spans="4:5" x14ac:dyDescent="0.3">
      <c r="D1776" s="123"/>
      <c r="E1776" s="15"/>
    </row>
    <row r="1777" spans="4:5" x14ac:dyDescent="0.3">
      <c r="D1777" s="123"/>
      <c r="E1777" s="15"/>
    </row>
    <row r="1778" spans="4:5" x14ac:dyDescent="0.3">
      <c r="D1778" s="123"/>
      <c r="E1778" s="15"/>
    </row>
    <row r="1779" spans="4:5" x14ac:dyDescent="0.3">
      <c r="D1779" s="123"/>
      <c r="E1779" s="15"/>
    </row>
    <row r="1780" spans="4:5" x14ac:dyDescent="0.3">
      <c r="D1780" s="123"/>
      <c r="E1780" s="15"/>
    </row>
    <row r="1781" spans="4:5" x14ac:dyDescent="0.3">
      <c r="D1781" s="123"/>
      <c r="E1781" s="15"/>
    </row>
    <row r="1782" spans="4:5" x14ac:dyDescent="0.3">
      <c r="D1782" s="123"/>
      <c r="E1782" s="15"/>
    </row>
    <row r="1783" spans="4:5" x14ac:dyDescent="0.3">
      <c r="D1783" s="123"/>
      <c r="E1783" s="15"/>
    </row>
    <row r="1784" spans="4:5" x14ac:dyDescent="0.3">
      <c r="D1784" s="123"/>
      <c r="E1784" s="15"/>
    </row>
    <row r="1785" spans="4:5" x14ac:dyDescent="0.3">
      <c r="D1785" s="123"/>
      <c r="E1785" s="15"/>
    </row>
    <row r="1786" spans="4:5" x14ac:dyDescent="0.3">
      <c r="D1786" s="123"/>
      <c r="E1786" s="15"/>
    </row>
    <row r="1787" spans="4:5" x14ac:dyDescent="0.3">
      <c r="D1787" s="123"/>
      <c r="E1787" s="15"/>
    </row>
    <row r="1788" spans="4:5" x14ac:dyDescent="0.3">
      <c r="D1788" s="123"/>
      <c r="E1788" s="15"/>
    </row>
    <row r="1789" spans="4:5" x14ac:dyDescent="0.3">
      <c r="D1789" s="123"/>
      <c r="E1789" s="15"/>
    </row>
    <row r="1790" spans="4:5" x14ac:dyDescent="0.3">
      <c r="D1790" s="123"/>
      <c r="E1790" s="15"/>
    </row>
    <row r="1791" spans="4:5" x14ac:dyDescent="0.3">
      <c r="D1791" s="123"/>
      <c r="E1791" s="15"/>
    </row>
    <row r="1792" spans="4:5" x14ac:dyDescent="0.3">
      <c r="D1792" s="123"/>
      <c r="E1792" s="15"/>
    </row>
    <row r="1793" spans="4:5" x14ac:dyDescent="0.3">
      <c r="D1793" s="123"/>
      <c r="E1793" s="15"/>
    </row>
    <row r="1794" spans="4:5" x14ac:dyDescent="0.3">
      <c r="D1794" s="123"/>
      <c r="E1794" s="15"/>
    </row>
    <row r="1795" spans="4:5" x14ac:dyDescent="0.3">
      <c r="D1795" s="123"/>
      <c r="E1795" s="15"/>
    </row>
    <row r="1796" spans="4:5" x14ac:dyDescent="0.3">
      <c r="D1796" s="123"/>
      <c r="E1796" s="15"/>
    </row>
    <row r="1797" spans="4:5" x14ac:dyDescent="0.3">
      <c r="D1797" s="123"/>
      <c r="E1797" s="15"/>
    </row>
    <row r="1798" spans="4:5" x14ac:dyDescent="0.3">
      <c r="D1798" s="123"/>
      <c r="E1798" s="15"/>
    </row>
    <row r="1799" spans="4:5" x14ac:dyDescent="0.3">
      <c r="D1799" s="123"/>
      <c r="E1799" s="15"/>
    </row>
    <row r="1800" spans="4:5" x14ac:dyDescent="0.3">
      <c r="D1800" s="123"/>
      <c r="E1800" s="15"/>
    </row>
    <row r="1801" spans="4:5" x14ac:dyDescent="0.3">
      <c r="D1801" s="123"/>
      <c r="E1801" s="15"/>
    </row>
    <row r="1802" spans="4:5" x14ac:dyDescent="0.3">
      <c r="D1802" s="123"/>
      <c r="E1802" s="15"/>
    </row>
    <row r="1803" spans="4:5" x14ac:dyDescent="0.3">
      <c r="D1803" s="123"/>
      <c r="E1803" s="15"/>
    </row>
    <row r="1804" spans="4:5" x14ac:dyDescent="0.3">
      <c r="D1804" s="123"/>
      <c r="E1804" s="15"/>
    </row>
    <row r="1805" spans="4:5" x14ac:dyDescent="0.3">
      <c r="D1805" s="123"/>
      <c r="E1805" s="15"/>
    </row>
    <row r="1806" spans="4:5" x14ac:dyDescent="0.3">
      <c r="D1806" s="123"/>
      <c r="E1806" s="15"/>
    </row>
    <row r="1807" spans="4:5" x14ac:dyDescent="0.3">
      <c r="D1807" s="123"/>
      <c r="E1807" s="15"/>
    </row>
    <row r="1808" spans="4:5" x14ac:dyDescent="0.3">
      <c r="D1808" s="123"/>
      <c r="E1808" s="15"/>
    </row>
    <row r="1809" spans="4:5" x14ac:dyDescent="0.3">
      <c r="D1809" s="123"/>
      <c r="E1809" s="15"/>
    </row>
    <row r="1810" spans="4:5" x14ac:dyDescent="0.3">
      <c r="D1810" s="123"/>
      <c r="E1810" s="15"/>
    </row>
    <row r="1811" spans="4:5" x14ac:dyDescent="0.3">
      <c r="D1811" s="123"/>
      <c r="E1811" s="15"/>
    </row>
    <row r="1812" spans="4:5" x14ac:dyDescent="0.3">
      <c r="D1812" s="123"/>
      <c r="E1812" s="15"/>
    </row>
    <row r="1813" spans="4:5" x14ac:dyDescent="0.3">
      <c r="D1813" s="123"/>
      <c r="E1813" s="15"/>
    </row>
    <row r="1814" spans="4:5" x14ac:dyDescent="0.3">
      <c r="D1814" s="123"/>
      <c r="E1814" s="15"/>
    </row>
    <row r="1815" spans="4:5" x14ac:dyDescent="0.3">
      <c r="D1815" s="123"/>
      <c r="E1815" s="15"/>
    </row>
    <row r="1816" spans="4:5" x14ac:dyDescent="0.3">
      <c r="D1816" s="123"/>
      <c r="E1816" s="15"/>
    </row>
    <row r="1817" spans="4:5" x14ac:dyDescent="0.3">
      <c r="D1817" s="123"/>
      <c r="E1817" s="15"/>
    </row>
    <row r="1818" spans="4:5" x14ac:dyDescent="0.3">
      <c r="D1818" s="123"/>
      <c r="E1818" s="15"/>
    </row>
    <row r="1819" spans="4:5" x14ac:dyDescent="0.3">
      <c r="D1819" s="123"/>
      <c r="E1819" s="15"/>
    </row>
    <row r="1820" spans="4:5" x14ac:dyDescent="0.3">
      <c r="D1820" s="123"/>
      <c r="E1820" s="15"/>
    </row>
    <row r="1821" spans="4:5" x14ac:dyDescent="0.3">
      <c r="D1821" s="123"/>
      <c r="E1821" s="15"/>
    </row>
    <row r="1822" spans="4:5" x14ac:dyDescent="0.3">
      <c r="D1822" s="123"/>
      <c r="E1822" s="15"/>
    </row>
    <row r="1823" spans="4:5" x14ac:dyDescent="0.3">
      <c r="D1823" s="123"/>
      <c r="E1823" s="15"/>
    </row>
    <row r="1824" spans="4:5" x14ac:dyDescent="0.3">
      <c r="D1824" s="123"/>
      <c r="E1824" s="15"/>
    </row>
    <row r="1825" spans="4:5" x14ac:dyDescent="0.3">
      <c r="D1825" s="123"/>
      <c r="E1825" s="15"/>
    </row>
    <row r="1826" spans="4:5" x14ac:dyDescent="0.3">
      <c r="D1826" s="123"/>
      <c r="E1826" s="15"/>
    </row>
    <row r="1827" spans="4:5" x14ac:dyDescent="0.3">
      <c r="D1827" s="123"/>
      <c r="E1827" s="15"/>
    </row>
    <row r="1828" spans="4:5" x14ac:dyDescent="0.3">
      <c r="D1828" s="123"/>
      <c r="E1828" s="15"/>
    </row>
    <row r="1829" spans="4:5" x14ac:dyDescent="0.3">
      <c r="D1829" s="123"/>
      <c r="E1829" s="15"/>
    </row>
    <row r="1830" spans="4:5" x14ac:dyDescent="0.3">
      <c r="D1830" s="123"/>
      <c r="E1830" s="15"/>
    </row>
    <row r="1831" spans="4:5" x14ac:dyDescent="0.3">
      <c r="D1831" s="123"/>
      <c r="E1831" s="15"/>
    </row>
    <row r="1832" spans="4:5" x14ac:dyDescent="0.3">
      <c r="D1832" s="123"/>
      <c r="E1832" s="15"/>
    </row>
    <row r="1833" spans="4:5" x14ac:dyDescent="0.3">
      <c r="D1833" s="123"/>
      <c r="E1833" s="15"/>
    </row>
    <row r="1834" spans="4:5" x14ac:dyDescent="0.3">
      <c r="D1834" s="123"/>
      <c r="E1834" s="15"/>
    </row>
    <row r="1835" spans="4:5" x14ac:dyDescent="0.3">
      <c r="D1835" s="123"/>
      <c r="E1835" s="15"/>
    </row>
    <row r="1836" spans="4:5" x14ac:dyDescent="0.3">
      <c r="D1836" s="123"/>
      <c r="E1836" s="15"/>
    </row>
    <row r="1837" spans="4:5" x14ac:dyDescent="0.3">
      <c r="D1837" s="123"/>
      <c r="E1837" s="15"/>
    </row>
    <row r="1838" spans="4:5" x14ac:dyDescent="0.3">
      <c r="D1838" s="123"/>
      <c r="E1838" s="15"/>
    </row>
    <row r="1839" spans="4:5" x14ac:dyDescent="0.3">
      <c r="D1839" s="123"/>
      <c r="E1839" s="15"/>
    </row>
    <row r="1840" spans="4:5" x14ac:dyDescent="0.3">
      <c r="D1840" s="123"/>
      <c r="E1840" s="15"/>
    </row>
    <row r="1841" spans="4:5" x14ac:dyDescent="0.3">
      <c r="D1841" s="123"/>
      <c r="E1841" s="15"/>
    </row>
    <row r="1842" spans="4:5" x14ac:dyDescent="0.3">
      <c r="D1842" s="123"/>
      <c r="E1842" s="15"/>
    </row>
    <row r="1843" spans="4:5" x14ac:dyDescent="0.3">
      <c r="D1843" s="123"/>
      <c r="E1843" s="15"/>
    </row>
    <row r="1844" spans="4:5" x14ac:dyDescent="0.3">
      <c r="D1844" s="123"/>
      <c r="E1844" s="15"/>
    </row>
    <row r="1845" spans="4:5" x14ac:dyDescent="0.3">
      <c r="D1845" s="123"/>
      <c r="E1845" s="15"/>
    </row>
    <row r="1846" spans="4:5" x14ac:dyDescent="0.3">
      <c r="D1846" s="123"/>
      <c r="E1846" s="15"/>
    </row>
    <row r="1847" spans="4:5" x14ac:dyDescent="0.3">
      <c r="D1847" s="123"/>
      <c r="E1847" s="15"/>
    </row>
    <row r="1848" spans="4:5" x14ac:dyDescent="0.3">
      <c r="D1848" s="123"/>
      <c r="E1848" s="15"/>
    </row>
    <row r="1849" spans="4:5" x14ac:dyDescent="0.3">
      <c r="D1849" s="123"/>
      <c r="E1849" s="15"/>
    </row>
    <row r="1850" spans="4:5" x14ac:dyDescent="0.3">
      <c r="D1850" s="123"/>
      <c r="E1850" s="15"/>
    </row>
    <row r="1851" spans="4:5" x14ac:dyDescent="0.3">
      <c r="D1851" s="123"/>
      <c r="E1851" s="15"/>
    </row>
    <row r="1852" spans="4:5" x14ac:dyDescent="0.3">
      <c r="D1852" s="123"/>
      <c r="E1852" s="15"/>
    </row>
    <row r="1853" spans="4:5" x14ac:dyDescent="0.3">
      <c r="D1853" s="123"/>
      <c r="E1853" s="15"/>
    </row>
    <row r="1854" spans="4:5" x14ac:dyDescent="0.3">
      <c r="D1854" s="123"/>
      <c r="E1854" s="15"/>
    </row>
    <row r="1855" spans="4:5" x14ac:dyDescent="0.3">
      <c r="D1855" s="123"/>
      <c r="E1855" s="15"/>
    </row>
    <row r="1856" spans="4:5" x14ac:dyDescent="0.3">
      <c r="D1856" s="123"/>
      <c r="E1856" s="15"/>
    </row>
    <row r="1857" spans="4:5" x14ac:dyDescent="0.3">
      <c r="D1857" s="123"/>
      <c r="E1857" s="15"/>
    </row>
    <row r="1858" spans="4:5" x14ac:dyDescent="0.3">
      <c r="D1858" s="123"/>
      <c r="E1858" s="15"/>
    </row>
    <row r="1859" spans="4:5" x14ac:dyDescent="0.3">
      <c r="D1859" s="123"/>
      <c r="E1859" s="15"/>
    </row>
    <row r="1860" spans="4:5" x14ac:dyDescent="0.3">
      <c r="D1860" s="123"/>
      <c r="E1860" s="15"/>
    </row>
    <row r="1861" spans="4:5" x14ac:dyDescent="0.3">
      <c r="D1861" s="123"/>
      <c r="E1861" s="15"/>
    </row>
    <row r="1862" spans="4:5" x14ac:dyDescent="0.3">
      <c r="D1862" s="123"/>
      <c r="E1862" s="15"/>
    </row>
    <row r="1863" spans="4:5" x14ac:dyDescent="0.3">
      <c r="D1863" s="123"/>
      <c r="E1863" s="15"/>
    </row>
    <row r="1864" spans="4:5" x14ac:dyDescent="0.3">
      <c r="D1864" s="123"/>
      <c r="E1864" s="15"/>
    </row>
    <row r="1865" spans="4:5" x14ac:dyDescent="0.3">
      <c r="D1865" s="123"/>
      <c r="E1865" s="15"/>
    </row>
    <row r="1866" spans="4:5" x14ac:dyDescent="0.3">
      <c r="D1866" s="123"/>
      <c r="E1866" s="15"/>
    </row>
    <row r="1867" spans="4:5" x14ac:dyDescent="0.3">
      <c r="D1867" s="123"/>
      <c r="E1867" s="15"/>
    </row>
    <row r="1868" spans="4:5" x14ac:dyDescent="0.3">
      <c r="D1868" s="123"/>
      <c r="E1868" s="15"/>
    </row>
    <row r="1869" spans="4:5" x14ac:dyDescent="0.3">
      <c r="D1869" s="123"/>
      <c r="E1869" s="15"/>
    </row>
    <row r="1870" spans="4:5" x14ac:dyDescent="0.3">
      <c r="D1870" s="123"/>
      <c r="E1870" s="15"/>
    </row>
    <row r="1871" spans="4:5" x14ac:dyDescent="0.3">
      <c r="D1871" s="123"/>
      <c r="E1871" s="15"/>
    </row>
    <row r="1872" spans="4:5" x14ac:dyDescent="0.3">
      <c r="D1872" s="123"/>
      <c r="E1872" s="15"/>
    </row>
    <row r="1873" spans="4:5" x14ac:dyDescent="0.3">
      <c r="D1873" s="123"/>
      <c r="E1873" s="15"/>
    </row>
    <row r="1874" spans="4:5" x14ac:dyDescent="0.3">
      <c r="D1874" s="123"/>
      <c r="E1874" s="15"/>
    </row>
    <row r="1875" spans="4:5" x14ac:dyDescent="0.3">
      <c r="D1875" s="123"/>
      <c r="E1875" s="15"/>
    </row>
    <row r="1876" spans="4:5" x14ac:dyDescent="0.3">
      <c r="D1876" s="123"/>
      <c r="E1876" s="15"/>
    </row>
    <row r="1877" spans="4:5" x14ac:dyDescent="0.3">
      <c r="D1877" s="123"/>
      <c r="E1877" s="15"/>
    </row>
    <row r="1878" spans="4:5" x14ac:dyDescent="0.3">
      <c r="D1878" s="123"/>
      <c r="E1878" s="15"/>
    </row>
    <row r="1879" spans="4:5" x14ac:dyDescent="0.3">
      <c r="D1879" s="123"/>
      <c r="E1879" s="15"/>
    </row>
    <row r="1880" spans="4:5" x14ac:dyDescent="0.3">
      <c r="D1880" s="123"/>
      <c r="E1880" s="15"/>
    </row>
    <row r="1881" spans="4:5" x14ac:dyDescent="0.3">
      <c r="D1881" s="123"/>
      <c r="E1881" s="15"/>
    </row>
    <row r="1882" spans="4:5" x14ac:dyDescent="0.3">
      <c r="D1882" s="123"/>
      <c r="E1882" s="15"/>
    </row>
    <row r="1883" spans="4:5" x14ac:dyDescent="0.3">
      <c r="D1883" s="123"/>
      <c r="E1883" s="15"/>
    </row>
    <row r="1884" spans="4:5" x14ac:dyDescent="0.3">
      <c r="D1884" s="123"/>
      <c r="E1884" s="15"/>
    </row>
    <row r="1885" spans="4:5" x14ac:dyDescent="0.3">
      <c r="D1885" s="123"/>
      <c r="E1885" s="15"/>
    </row>
    <row r="1886" spans="4:5" x14ac:dyDescent="0.3">
      <c r="D1886" s="123"/>
      <c r="E1886" s="15"/>
    </row>
    <row r="1887" spans="4:5" x14ac:dyDescent="0.3">
      <c r="D1887" s="123"/>
      <c r="E1887" s="15"/>
    </row>
    <row r="1888" spans="4:5" x14ac:dyDescent="0.3">
      <c r="D1888" s="123"/>
      <c r="E1888" s="15"/>
    </row>
    <row r="1889" spans="4:5" x14ac:dyDescent="0.3">
      <c r="D1889" s="123"/>
      <c r="E1889" s="15"/>
    </row>
    <row r="1890" spans="4:5" x14ac:dyDescent="0.3">
      <c r="D1890" s="123"/>
      <c r="E1890" s="15"/>
    </row>
    <row r="1891" spans="4:5" x14ac:dyDescent="0.3">
      <c r="D1891" s="123"/>
      <c r="E1891" s="15"/>
    </row>
    <row r="1892" spans="4:5" x14ac:dyDescent="0.3">
      <c r="D1892" s="123"/>
      <c r="E1892" s="15"/>
    </row>
    <row r="1893" spans="4:5" x14ac:dyDescent="0.3">
      <c r="D1893" s="123"/>
      <c r="E1893" s="15"/>
    </row>
    <row r="1894" spans="4:5" x14ac:dyDescent="0.3">
      <c r="D1894" s="123"/>
      <c r="E1894" s="15"/>
    </row>
    <row r="1895" spans="4:5" x14ac:dyDescent="0.3">
      <c r="D1895" s="123"/>
      <c r="E1895" s="15"/>
    </row>
    <row r="1896" spans="4:5" x14ac:dyDescent="0.3">
      <c r="D1896" s="123"/>
      <c r="E1896" s="15"/>
    </row>
    <row r="1897" spans="4:5" x14ac:dyDescent="0.3">
      <c r="D1897" s="123"/>
      <c r="E1897" s="15"/>
    </row>
    <row r="1898" spans="4:5" x14ac:dyDescent="0.3">
      <c r="D1898" s="123"/>
      <c r="E1898" s="15"/>
    </row>
    <row r="1899" spans="4:5" x14ac:dyDescent="0.3">
      <c r="D1899" s="123"/>
      <c r="E1899" s="15"/>
    </row>
    <row r="1900" spans="4:5" x14ac:dyDescent="0.3">
      <c r="D1900" s="123"/>
      <c r="E1900" s="15"/>
    </row>
    <row r="1901" spans="4:5" x14ac:dyDescent="0.3">
      <c r="D1901" s="123"/>
      <c r="E1901" s="15"/>
    </row>
    <row r="1902" spans="4:5" x14ac:dyDescent="0.3">
      <c r="D1902" s="123"/>
      <c r="E1902" s="15"/>
    </row>
    <row r="1903" spans="4:5" x14ac:dyDescent="0.3">
      <c r="D1903" s="123"/>
      <c r="E1903" s="15"/>
    </row>
    <row r="1904" spans="4:5" x14ac:dyDescent="0.3">
      <c r="D1904" s="123"/>
      <c r="E1904" s="15"/>
    </row>
    <row r="1905" spans="4:5" x14ac:dyDescent="0.3">
      <c r="D1905" s="123"/>
      <c r="E1905" s="15"/>
    </row>
    <row r="1906" spans="4:5" x14ac:dyDescent="0.3">
      <c r="D1906" s="123"/>
      <c r="E1906" s="15"/>
    </row>
    <row r="1907" spans="4:5" x14ac:dyDescent="0.3">
      <c r="D1907" s="123"/>
      <c r="E1907" s="15"/>
    </row>
    <row r="1908" spans="4:5" x14ac:dyDescent="0.3">
      <c r="D1908" s="123"/>
      <c r="E1908" s="15"/>
    </row>
    <row r="1909" spans="4:5" x14ac:dyDescent="0.3">
      <c r="D1909" s="123"/>
      <c r="E1909" s="15"/>
    </row>
    <row r="1910" spans="4:5" x14ac:dyDescent="0.3">
      <c r="D1910" s="123"/>
      <c r="E1910" s="15"/>
    </row>
    <row r="1911" spans="4:5" x14ac:dyDescent="0.3">
      <c r="D1911" s="123"/>
      <c r="E1911" s="15"/>
    </row>
    <row r="1912" spans="4:5" x14ac:dyDescent="0.3">
      <c r="D1912" s="123"/>
      <c r="E1912" s="15"/>
    </row>
    <row r="1913" spans="4:5" x14ac:dyDescent="0.3">
      <c r="D1913" s="123"/>
      <c r="E1913" s="15"/>
    </row>
    <row r="1914" spans="4:5" x14ac:dyDescent="0.3">
      <c r="D1914" s="123"/>
      <c r="E1914" s="15"/>
    </row>
    <row r="1915" spans="4:5" x14ac:dyDescent="0.3">
      <c r="D1915" s="123"/>
      <c r="E1915" s="15"/>
    </row>
    <row r="1916" spans="4:5" x14ac:dyDescent="0.3">
      <c r="D1916" s="123"/>
      <c r="E1916" s="15"/>
    </row>
    <row r="1917" spans="4:5" x14ac:dyDescent="0.3">
      <c r="D1917" s="123"/>
      <c r="E1917" s="15"/>
    </row>
    <row r="1918" spans="4:5" x14ac:dyDescent="0.3">
      <c r="D1918" s="123"/>
      <c r="E1918" s="15"/>
    </row>
    <row r="1919" spans="4:5" x14ac:dyDescent="0.3">
      <c r="D1919" s="123"/>
      <c r="E1919" s="15"/>
    </row>
    <row r="1920" spans="4:5" x14ac:dyDescent="0.3">
      <c r="D1920" s="123"/>
      <c r="E1920" s="15"/>
    </row>
    <row r="1921" spans="4:5" x14ac:dyDescent="0.3">
      <c r="D1921" s="123"/>
      <c r="E1921" s="15"/>
    </row>
    <row r="1922" spans="4:5" x14ac:dyDescent="0.3">
      <c r="D1922" s="123"/>
      <c r="E1922" s="15"/>
    </row>
    <row r="1923" spans="4:5" x14ac:dyDescent="0.3">
      <c r="D1923" s="123"/>
      <c r="E1923" s="15"/>
    </row>
    <row r="1924" spans="4:5" x14ac:dyDescent="0.3">
      <c r="D1924" s="123"/>
      <c r="E1924" s="15"/>
    </row>
    <row r="1925" spans="4:5" x14ac:dyDescent="0.3">
      <c r="D1925" s="123"/>
      <c r="E1925" s="15"/>
    </row>
    <row r="1926" spans="4:5" x14ac:dyDescent="0.3">
      <c r="D1926" s="123"/>
      <c r="E1926" s="15"/>
    </row>
    <row r="1927" spans="4:5" x14ac:dyDescent="0.3">
      <c r="D1927" s="123"/>
      <c r="E1927" s="15"/>
    </row>
    <row r="1928" spans="4:5" x14ac:dyDescent="0.3">
      <c r="D1928" s="123"/>
      <c r="E1928" s="15"/>
    </row>
    <row r="1929" spans="4:5" x14ac:dyDescent="0.3">
      <c r="D1929" s="123"/>
      <c r="E1929" s="15"/>
    </row>
    <row r="1930" spans="4:5" x14ac:dyDescent="0.3">
      <c r="D1930" s="123"/>
      <c r="E1930" s="15"/>
    </row>
    <row r="1931" spans="4:5" x14ac:dyDescent="0.3">
      <c r="D1931" s="123"/>
      <c r="E1931" s="15"/>
    </row>
    <row r="1932" spans="4:5" x14ac:dyDescent="0.3">
      <c r="D1932" s="123"/>
      <c r="E1932" s="15"/>
    </row>
    <row r="1933" spans="4:5" x14ac:dyDescent="0.3">
      <c r="D1933" s="123"/>
      <c r="E1933" s="15"/>
    </row>
    <row r="1934" spans="4:5" x14ac:dyDescent="0.3">
      <c r="D1934" s="123"/>
      <c r="E1934" s="15"/>
    </row>
    <row r="1935" spans="4:5" x14ac:dyDescent="0.3">
      <c r="D1935" s="123"/>
      <c r="E1935" s="15"/>
    </row>
    <row r="1936" spans="4:5" x14ac:dyDescent="0.3">
      <c r="D1936" s="123"/>
      <c r="E1936" s="15"/>
    </row>
    <row r="1937" spans="4:5" x14ac:dyDescent="0.3">
      <c r="D1937" s="123"/>
      <c r="E1937" s="15"/>
    </row>
    <row r="1938" spans="4:5" x14ac:dyDescent="0.3">
      <c r="D1938" s="123"/>
      <c r="E1938" s="15"/>
    </row>
    <row r="1939" spans="4:5" x14ac:dyDescent="0.3">
      <c r="D1939" s="123"/>
      <c r="E1939" s="15"/>
    </row>
    <row r="1940" spans="4:5" x14ac:dyDescent="0.3">
      <c r="D1940" s="123"/>
      <c r="E1940" s="15"/>
    </row>
    <row r="1941" spans="4:5" x14ac:dyDescent="0.3">
      <c r="D1941" s="123"/>
      <c r="E1941" s="15"/>
    </row>
    <row r="1942" spans="4:5" x14ac:dyDescent="0.3">
      <c r="D1942" s="123"/>
      <c r="E1942" s="15"/>
    </row>
    <row r="1943" spans="4:5" x14ac:dyDescent="0.3">
      <c r="D1943" s="123"/>
      <c r="E1943" s="15"/>
    </row>
    <row r="1944" spans="4:5" x14ac:dyDescent="0.3">
      <c r="D1944" s="123"/>
      <c r="E1944" s="15"/>
    </row>
    <row r="1945" spans="4:5" x14ac:dyDescent="0.3">
      <c r="D1945" s="123"/>
      <c r="E1945" s="15"/>
    </row>
    <row r="1946" spans="4:5" x14ac:dyDescent="0.3">
      <c r="D1946" s="123"/>
      <c r="E1946" s="15"/>
    </row>
    <row r="1947" spans="4:5" x14ac:dyDescent="0.3">
      <c r="D1947" s="123"/>
      <c r="E1947" s="15"/>
    </row>
    <row r="1948" spans="4:5" x14ac:dyDescent="0.3">
      <c r="D1948" s="123"/>
      <c r="E1948" s="15"/>
    </row>
    <row r="1949" spans="4:5" x14ac:dyDescent="0.3">
      <c r="D1949" s="123"/>
      <c r="E1949" s="15"/>
    </row>
    <row r="1950" spans="4:5" x14ac:dyDescent="0.3">
      <c r="D1950" s="123"/>
      <c r="E1950" s="15"/>
    </row>
    <row r="1951" spans="4:5" x14ac:dyDescent="0.3">
      <c r="D1951" s="123"/>
      <c r="E1951" s="15"/>
    </row>
    <row r="1952" spans="4:5" x14ac:dyDescent="0.3">
      <c r="D1952" s="123"/>
      <c r="E1952" s="15"/>
    </row>
    <row r="1953" spans="4:5" x14ac:dyDescent="0.3">
      <c r="D1953" s="123"/>
      <c r="E1953" s="15"/>
    </row>
    <row r="1954" spans="4:5" x14ac:dyDescent="0.3">
      <c r="D1954" s="123"/>
      <c r="E1954" s="15"/>
    </row>
    <row r="1955" spans="4:5" x14ac:dyDescent="0.3">
      <c r="D1955" s="123"/>
      <c r="E1955" s="15"/>
    </row>
    <row r="1956" spans="4:5" x14ac:dyDescent="0.3">
      <c r="D1956" s="123"/>
      <c r="E1956" s="15"/>
    </row>
    <row r="1957" spans="4:5" x14ac:dyDescent="0.3">
      <c r="D1957" s="123"/>
      <c r="E1957" s="15"/>
    </row>
    <row r="1958" spans="4:5" x14ac:dyDescent="0.3">
      <c r="D1958" s="123"/>
      <c r="E1958" s="15"/>
    </row>
    <row r="1959" spans="4:5" x14ac:dyDescent="0.3">
      <c r="D1959" s="123"/>
      <c r="E1959" s="15"/>
    </row>
    <row r="1960" spans="4:5" x14ac:dyDescent="0.3">
      <c r="D1960" s="123"/>
      <c r="E1960" s="15"/>
    </row>
    <row r="1961" spans="4:5" x14ac:dyDescent="0.3">
      <c r="D1961" s="123"/>
      <c r="E1961" s="15"/>
    </row>
    <row r="1962" spans="4:5" x14ac:dyDescent="0.3">
      <c r="D1962" s="123"/>
      <c r="E1962" s="15"/>
    </row>
    <row r="1963" spans="4:5" x14ac:dyDescent="0.3">
      <c r="D1963" s="123"/>
      <c r="E1963" s="15"/>
    </row>
    <row r="1964" spans="4:5" x14ac:dyDescent="0.3">
      <c r="D1964" s="123"/>
      <c r="E1964" s="15"/>
    </row>
    <row r="1965" spans="4:5" x14ac:dyDescent="0.3">
      <c r="D1965" s="123"/>
      <c r="E1965" s="15"/>
    </row>
    <row r="1966" spans="4:5" x14ac:dyDescent="0.3">
      <c r="D1966" s="123"/>
      <c r="E1966" s="15"/>
    </row>
    <row r="1967" spans="4:5" x14ac:dyDescent="0.3">
      <c r="D1967" s="123"/>
      <c r="E1967" s="15"/>
    </row>
    <row r="1968" spans="4:5" x14ac:dyDescent="0.3">
      <c r="D1968" s="123"/>
      <c r="E1968" s="15"/>
    </row>
    <row r="1969" spans="4:5" x14ac:dyDescent="0.3">
      <c r="D1969" s="123"/>
      <c r="E1969" s="15"/>
    </row>
    <row r="1970" spans="4:5" x14ac:dyDescent="0.3">
      <c r="D1970" s="123"/>
      <c r="E1970" s="15"/>
    </row>
    <row r="1971" spans="4:5" x14ac:dyDescent="0.3">
      <c r="D1971" s="123"/>
      <c r="E1971" s="15"/>
    </row>
    <row r="1972" spans="4:5" x14ac:dyDescent="0.3">
      <c r="D1972" s="123"/>
      <c r="E1972" s="15"/>
    </row>
    <row r="1973" spans="4:5" x14ac:dyDescent="0.3">
      <c r="D1973" s="123"/>
      <c r="E1973" s="15"/>
    </row>
    <row r="1974" spans="4:5" x14ac:dyDescent="0.3">
      <c r="D1974" s="123"/>
      <c r="E1974" s="15"/>
    </row>
    <row r="1975" spans="4:5" x14ac:dyDescent="0.3">
      <c r="D1975" s="123"/>
      <c r="E1975" s="15"/>
    </row>
    <row r="1976" spans="4:5" x14ac:dyDescent="0.3">
      <c r="D1976" s="123"/>
      <c r="E1976" s="15"/>
    </row>
    <row r="1977" spans="4:5" x14ac:dyDescent="0.3">
      <c r="D1977" s="123"/>
      <c r="E1977" s="15"/>
    </row>
    <row r="1978" spans="4:5" x14ac:dyDescent="0.3">
      <c r="D1978" s="123"/>
      <c r="E1978" s="15"/>
    </row>
    <row r="1979" spans="4:5" x14ac:dyDescent="0.3">
      <c r="D1979" s="123"/>
      <c r="E1979" s="15"/>
    </row>
    <row r="1980" spans="4:5" x14ac:dyDescent="0.3">
      <c r="D1980" s="123"/>
      <c r="E1980" s="15"/>
    </row>
    <row r="1981" spans="4:5" x14ac:dyDescent="0.3">
      <c r="D1981" s="123"/>
      <c r="E1981" s="15"/>
    </row>
    <row r="1982" spans="4:5" x14ac:dyDescent="0.3">
      <c r="D1982" s="123"/>
      <c r="E1982" s="15"/>
    </row>
    <row r="1983" spans="4:5" x14ac:dyDescent="0.3">
      <c r="D1983" s="123"/>
      <c r="E1983" s="15"/>
    </row>
    <row r="1984" spans="4:5" x14ac:dyDescent="0.3">
      <c r="D1984" s="123"/>
      <c r="E1984" s="15"/>
    </row>
    <row r="1985" spans="4:5" x14ac:dyDescent="0.3">
      <c r="D1985" s="123"/>
      <c r="E1985" s="15"/>
    </row>
    <row r="1986" spans="4:5" x14ac:dyDescent="0.3">
      <c r="D1986" s="123"/>
      <c r="E1986" s="15"/>
    </row>
    <row r="1987" spans="4:5" x14ac:dyDescent="0.3">
      <c r="D1987" s="123"/>
      <c r="E1987" s="15"/>
    </row>
    <row r="1988" spans="4:5" x14ac:dyDescent="0.3">
      <c r="D1988" s="123"/>
      <c r="E1988" s="15"/>
    </row>
    <row r="1989" spans="4:5" x14ac:dyDescent="0.3">
      <c r="D1989" s="123"/>
      <c r="E1989" s="15"/>
    </row>
    <row r="1990" spans="4:5" x14ac:dyDescent="0.3">
      <c r="D1990" s="123"/>
      <c r="E1990" s="15"/>
    </row>
    <row r="1991" spans="4:5" x14ac:dyDescent="0.3">
      <c r="D1991" s="123"/>
      <c r="E1991" s="15"/>
    </row>
    <row r="1992" spans="4:5" x14ac:dyDescent="0.3">
      <c r="D1992" s="123"/>
      <c r="E1992" s="15"/>
    </row>
    <row r="1993" spans="4:5" x14ac:dyDescent="0.3">
      <c r="D1993" s="123"/>
      <c r="E1993" s="15"/>
    </row>
    <row r="1994" spans="4:5" x14ac:dyDescent="0.3">
      <c r="D1994" s="123"/>
      <c r="E1994" s="15"/>
    </row>
    <row r="1995" spans="4:5" x14ac:dyDescent="0.3">
      <c r="D1995" s="123"/>
      <c r="E1995" s="15"/>
    </row>
    <row r="1996" spans="4:5" x14ac:dyDescent="0.3">
      <c r="D1996" s="123"/>
      <c r="E1996" s="15"/>
    </row>
    <row r="1997" spans="4:5" x14ac:dyDescent="0.3">
      <c r="D1997" s="123"/>
      <c r="E1997" s="15"/>
    </row>
    <row r="1998" spans="4:5" x14ac:dyDescent="0.3">
      <c r="D1998" s="123"/>
      <c r="E1998" s="15"/>
    </row>
    <row r="1999" spans="4:5" x14ac:dyDescent="0.3">
      <c r="D1999" s="123"/>
      <c r="E1999" s="15"/>
    </row>
    <row r="2000" spans="4:5" x14ac:dyDescent="0.3">
      <c r="D2000" s="123"/>
      <c r="E2000" s="15"/>
    </row>
    <row r="2001" spans="4:5" x14ac:dyDescent="0.3">
      <c r="D2001" s="123"/>
      <c r="E2001" s="15"/>
    </row>
    <row r="2002" spans="4:5" x14ac:dyDescent="0.3">
      <c r="D2002" s="123"/>
      <c r="E2002" s="15"/>
    </row>
    <row r="2003" spans="4:5" x14ac:dyDescent="0.3">
      <c r="D2003" s="123"/>
      <c r="E2003" s="15"/>
    </row>
    <row r="2004" spans="4:5" x14ac:dyDescent="0.3">
      <c r="D2004" s="123"/>
      <c r="E2004" s="15"/>
    </row>
    <row r="2005" spans="4:5" x14ac:dyDescent="0.3">
      <c r="D2005" s="123"/>
      <c r="E2005" s="15"/>
    </row>
    <row r="2006" spans="4:5" x14ac:dyDescent="0.3">
      <c r="D2006" s="123"/>
      <c r="E2006" s="15"/>
    </row>
    <row r="2007" spans="4:5" x14ac:dyDescent="0.3">
      <c r="D2007" s="123"/>
      <c r="E2007" s="15"/>
    </row>
    <row r="2008" spans="4:5" x14ac:dyDescent="0.3">
      <c r="D2008" s="123"/>
      <c r="E2008" s="15"/>
    </row>
    <row r="2009" spans="4:5" x14ac:dyDescent="0.3">
      <c r="D2009" s="123"/>
      <c r="E2009" s="15"/>
    </row>
    <row r="2010" spans="4:5" x14ac:dyDescent="0.3">
      <c r="D2010" s="123"/>
      <c r="E2010" s="15"/>
    </row>
    <row r="2011" spans="4:5" x14ac:dyDescent="0.3">
      <c r="D2011" s="123"/>
      <c r="E2011" s="15"/>
    </row>
    <row r="2012" spans="4:5" x14ac:dyDescent="0.3">
      <c r="D2012" s="123"/>
      <c r="E2012" s="15"/>
    </row>
    <row r="2013" spans="4:5" x14ac:dyDescent="0.3">
      <c r="D2013" s="123"/>
      <c r="E2013" s="15"/>
    </row>
    <row r="2014" spans="4:5" x14ac:dyDescent="0.3">
      <c r="D2014" s="123"/>
      <c r="E2014" s="15"/>
    </row>
    <row r="2015" spans="4:5" x14ac:dyDescent="0.3">
      <c r="D2015" s="123"/>
      <c r="E2015" s="15"/>
    </row>
    <row r="2016" spans="4:5" x14ac:dyDescent="0.3">
      <c r="D2016" s="123"/>
      <c r="E2016" s="15"/>
    </row>
    <row r="2017" spans="4:5" x14ac:dyDescent="0.3">
      <c r="D2017" s="123"/>
      <c r="E2017" s="15"/>
    </row>
    <row r="2018" spans="4:5" x14ac:dyDescent="0.3">
      <c r="D2018" s="123"/>
      <c r="E2018" s="15"/>
    </row>
    <row r="2019" spans="4:5" x14ac:dyDescent="0.3">
      <c r="D2019" s="123"/>
      <c r="E2019" s="15"/>
    </row>
    <row r="2020" spans="4:5" x14ac:dyDescent="0.3">
      <c r="D2020" s="123"/>
      <c r="E2020" s="15"/>
    </row>
    <row r="2021" spans="4:5" x14ac:dyDescent="0.3">
      <c r="D2021" s="123"/>
      <c r="E2021" s="15"/>
    </row>
    <row r="2022" spans="4:5" x14ac:dyDescent="0.3">
      <c r="D2022" s="123"/>
      <c r="E2022" s="15"/>
    </row>
    <row r="2023" spans="4:5" x14ac:dyDescent="0.3">
      <c r="D2023" s="123"/>
      <c r="E2023" s="15"/>
    </row>
    <row r="2024" spans="4:5" x14ac:dyDescent="0.3">
      <c r="D2024" s="123"/>
      <c r="E2024" s="15"/>
    </row>
    <row r="2025" spans="4:5" x14ac:dyDescent="0.3">
      <c r="D2025" s="123"/>
      <c r="E2025" s="15"/>
    </row>
    <row r="2026" spans="4:5" x14ac:dyDescent="0.3">
      <c r="D2026" s="123"/>
      <c r="E2026" s="15"/>
    </row>
    <row r="2027" spans="4:5" x14ac:dyDescent="0.3">
      <c r="D2027" s="123"/>
      <c r="E2027" s="15"/>
    </row>
    <row r="2028" spans="4:5" x14ac:dyDescent="0.3">
      <c r="D2028" s="123"/>
      <c r="E2028" s="15"/>
    </row>
    <row r="2029" spans="4:5" x14ac:dyDescent="0.3">
      <c r="D2029" s="123"/>
      <c r="E2029" s="15"/>
    </row>
    <row r="2030" spans="4:5" x14ac:dyDescent="0.3">
      <c r="D2030" s="123"/>
      <c r="E2030" s="15"/>
    </row>
    <row r="2031" spans="4:5" x14ac:dyDescent="0.3">
      <c r="D2031" s="123"/>
      <c r="E2031" s="15"/>
    </row>
    <row r="2032" spans="4:5" x14ac:dyDescent="0.3">
      <c r="D2032" s="123"/>
      <c r="E2032" s="15"/>
    </row>
    <row r="2033" spans="4:5" x14ac:dyDescent="0.3">
      <c r="D2033" s="123"/>
      <c r="E2033" s="15"/>
    </row>
    <row r="2034" spans="4:5" x14ac:dyDescent="0.3">
      <c r="D2034" s="123"/>
      <c r="E2034" s="15"/>
    </row>
    <row r="2035" spans="4:5" x14ac:dyDescent="0.3">
      <c r="D2035" s="123"/>
      <c r="E2035" s="15"/>
    </row>
    <row r="2036" spans="4:5" x14ac:dyDescent="0.3">
      <c r="D2036" s="123"/>
      <c r="E2036" s="15"/>
    </row>
    <row r="2037" spans="4:5" x14ac:dyDescent="0.3">
      <c r="D2037" s="123"/>
      <c r="E2037" s="15"/>
    </row>
    <row r="2038" spans="4:5" x14ac:dyDescent="0.3">
      <c r="D2038" s="123"/>
      <c r="E2038" s="15"/>
    </row>
    <row r="2039" spans="4:5" x14ac:dyDescent="0.3">
      <c r="D2039" s="123"/>
      <c r="E2039" s="15"/>
    </row>
    <row r="2040" spans="4:5" x14ac:dyDescent="0.3">
      <c r="D2040" s="123"/>
      <c r="E2040" s="15"/>
    </row>
    <row r="2041" spans="4:5" x14ac:dyDescent="0.3">
      <c r="D2041" s="123"/>
      <c r="E2041" s="15"/>
    </row>
    <row r="2042" spans="4:5" x14ac:dyDescent="0.3">
      <c r="D2042" s="123"/>
      <c r="E2042" s="15"/>
    </row>
    <row r="2043" spans="4:5" x14ac:dyDescent="0.3">
      <c r="D2043" s="123"/>
      <c r="E2043" s="15"/>
    </row>
    <row r="2044" spans="4:5" x14ac:dyDescent="0.3">
      <c r="D2044" s="123"/>
      <c r="E2044" s="15"/>
    </row>
    <row r="2045" spans="4:5" x14ac:dyDescent="0.3">
      <c r="D2045" s="123"/>
      <c r="E2045" s="15"/>
    </row>
    <row r="2046" spans="4:5" x14ac:dyDescent="0.3">
      <c r="D2046" s="123"/>
      <c r="E2046" s="15"/>
    </row>
    <row r="2047" spans="4:5" x14ac:dyDescent="0.3">
      <c r="D2047" s="123"/>
      <c r="E2047" s="15"/>
    </row>
    <row r="2048" spans="4:5" x14ac:dyDescent="0.3">
      <c r="D2048" s="123"/>
      <c r="E2048" s="15"/>
    </row>
    <row r="2049" spans="4:5" x14ac:dyDescent="0.3">
      <c r="D2049" s="123"/>
      <c r="E2049" s="15"/>
    </row>
    <row r="2050" spans="4:5" x14ac:dyDescent="0.3">
      <c r="D2050" s="123"/>
      <c r="E2050" s="15"/>
    </row>
    <row r="2051" spans="4:5" x14ac:dyDescent="0.3">
      <c r="D2051" s="123"/>
      <c r="E2051" s="15"/>
    </row>
    <row r="2052" spans="4:5" x14ac:dyDescent="0.3">
      <c r="D2052" s="123"/>
      <c r="E2052" s="15"/>
    </row>
    <row r="2053" spans="4:5" x14ac:dyDescent="0.3">
      <c r="D2053" s="123"/>
      <c r="E2053" s="15"/>
    </row>
    <row r="2054" spans="4:5" x14ac:dyDescent="0.3">
      <c r="D2054" s="123"/>
      <c r="E2054" s="15"/>
    </row>
    <row r="2055" spans="4:5" x14ac:dyDescent="0.3">
      <c r="D2055" s="123"/>
      <c r="E2055" s="15"/>
    </row>
    <row r="2056" spans="4:5" x14ac:dyDescent="0.3">
      <c r="D2056" s="123"/>
      <c r="E2056" s="15"/>
    </row>
    <row r="2057" spans="4:5" x14ac:dyDescent="0.3">
      <c r="D2057" s="123"/>
      <c r="E2057" s="15"/>
    </row>
    <row r="2058" spans="4:5" x14ac:dyDescent="0.3">
      <c r="D2058" s="123"/>
      <c r="E2058" s="15"/>
    </row>
    <row r="2059" spans="4:5" x14ac:dyDescent="0.3">
      <c r="D2059" s="123"/>
      <c r="E2059" s="15"/>
    </row>
    <row r="2060" spans="4:5" x14ac:dyDescent="0.3">
      <c r="D2060" s="123"/>
      <c r="E2060" s="15"/>
    </row>
    <row r="2061" spans="4:5" x14ac:dyDescent="0.3">
      <c r="D2061" s="123"/>
      <c r="E2061" s="15"/>
    </row>
    <row r="2062" spans="4:5" x14ac:dyDescent="0.3">
      <c r="D2062" s="123"/>
      <c r="E2062" s="15"/>
    </row>
    <row r="2063" spans="4:5" x14ac:dyDescent="0.3">
      <c r="D2063" s="123"/>
      <c r="E2063" s="15"/>
    </row>
    <row r="2064" spans="4:5" x14ac:dyDescent="0.3">
      <c r="D2064" s="123"/>
      <c r="E2064" s="15"/>
    </row>
    <row r="2065" spans="4:5" x14ac:dyDescent="0.3">
      <c r="D2065" s="123"/>
      <c r="E2065" s="15"/>
    </row>
    <row r="2066" spans="4:5" x14ac:dyDescent="0.3">
      <c r="D2066" s="123"/>
      <c r="E2066" s="15"/>
    </row>
    <row r="2067" spans="4:5" x14ac:dyDescent="0.3">
      <c r="D2067" s="123"/>
      <c r="E2067" s="15"/>
    </row>
    <row r="2068" spans="4:5" x14ac:dyDescent="0.3">
      <c r="D2068" s="123"/>
      <c r="E2068" s="15"/>
    </row>
    <row r="2069" spans="4:5" x14ac:dyDescent="0.3">
      <c r="D2069" s="123"/>
      <c r="E2069" s="15"/>
    </row>
    <row r="2070" spans="4:5" x14ac:dyDescent="0.3">
      <c r="D2070" s="123"/>
      <c r="E2070" s="15"/>
    </row>
    <row r="2071" spans="4:5" x14ac:dyDescent="0.3">
      <c r="D2071" s="123"/>
      <c r="E2071" s="15"/>
    </row>
    <row r="2072" spans="4:5" x14ac:dyDescent="0.3">
      <c r="D2072" s="123"/>
      <c r="E2072" s="15"/>
    </row>
    <row r="2073" spans="4:5" x14ac:dyDescent="0.3">
      <c r="D2073" s="123"/>
      <c r="E2073" s="15"/>
    </row>
    <row r="2074" spans="4:5" x14ac:dyDescent="0.3">
      <c r="D2074" s="123"/>
      <c r="E2074" s="15"/>
    </row>
    <row r="2075" spans="4:5" x14ac:dyDescent="0.3">
      <c r="D2075" s="123"/>
      <c r="E2075" s="15"/>
    </row>
    <row r="2076" spans="4:5" x14ac:dyDescent="0.3">
      <c r="D2076" s="123"/>
      <c r="E2076" s="15"/>
    </row>
    <row r="2077" spans="4:5" x14ac:dyDescent="0.3">
      <c r="D2077" s="123"/>
      <c r="E2077" s="15"/>
    </row>
    <row r="2078" spans="4:5" x14ac:dyDescent="0.3">
      <c r="D2078" s="123"/>
      <c r="E2078" s="15"/>
    </row>
    <row r="2079" spans="4:5" x14ac:dyDescent="0.3">
      <c r="D2079" s="123"/>
      <c r="E2079" s="15"/>
    </row>
    <row r="2080" spans="4:5" x14ac:dyDescent="0.3">
      <c r="D2080" s="123"/>
      <c r="E2080" s="15"/>
    </row>
    <row r="2081" spans="4:5" x14ac:dyDescent="0.3">
      <c r="D2081" s="123"/>
      <c r="E2081" s="15"/>
    </row>
    <row r="2082" spans="4:5" x14ac:dyDescent="0.3">
      <c r="D2082" s="123"/>
      <c r="E2082" s="15"/>
    </row>
    <row r="2083" spans="4:5" x14ac:dyDescent="0.3">
      <c r="D2083" s="123"/>
      <c r="E2083" s="15"/>
    </row>
    <row r="2084" spans="4:5" x14ac:dyDescent="0.3">
      <c r="D2084" s="123"/>
      <c r="E2084" s="15"/>
    </row>
    <row r="2085" spans="4:5" x14ac:dyDescent="0.3">
      <c r="D2085" s="123"/>
      <c r="E2085" s="15"/>
    </row>
    <row r="2086" spans="4:5" x14ac:dyDescent="0.3">
      <c r="D2086" s="123"/>
      <c r="E2086" s="15"/>
    </row>
    <row r="2087" spans="4:5" x14ac:dyDescent="0.3">
      <c r="D2087" s="123"/>
      <c r="E2087" s="15"/>
    </row>
    <row r="2088" spans="4:5" x14ac:dyDescent="0.3">
      <c r="D2088" s="123"/>
      <c r="E2088" s="15"/>
    </row>
    <row r="2089" spans="4:5" x14ac:dyDescent="0.3">
      <c r="D2089" s="123"/>
      <c r="E2089" s="15"/>
    </row>
    <row r="2090" spans="4:5" x14ac:dyDescent="0.3">
      <c r="D2090" s="123"/>
      <c r="E2090" s="15"/>
    </row>
    <row r="2091" spans="4:5" x14ac:dyDescent="0.3">
      <c r="D2091" s="123"/>
      <c r="E2091" s="15"/>
    </row>
    <row r="2092" spans="4:5" x14ac:dyDescent="0.3">
      <c r="D2092" s="123"/>
      <c r="E2092" s="15"/>
    </row>
    <row r="2093" spans="4:5" x14ac:dyDescent="0.3">
      <c r="D2093" s="123"/>
      <c r="E2093" s="15"/>
    </row>
    <row r="2094" spans="4:5" x14ac:dyDescent="0.3">
      <c r="D2094" s="123"/>
      <c r="E2094" s="15"/>
    </row>
    <row r="2095" spans="4:5" x14ac:dyDescent="0.3">
      <c r="D2095" s="123"/>
      <c r="E2095" s="15"/>
    </row>
    <row r="2096" spans="4:5" x14ac:dyDescent="0.3">
      <c r="D2096" s="123"/>
      <c r="E2096" s="15"/>
    </row>
    <row r="2097" spans="4:5" x14ac:dyDescent="0.3">
      <c r="D2097" s="123"/>
      <c r="E2097" s="15"/>
    </row>
    <row r="2098" spans="4:5" x14ac:dyDescent="0.3">
      <c r="D2098" s="123"/>
      <c r="E2098" s="15"/>
    </row>
    <row r="2099" spans="4:5" x14ac:dyDescent="0.3">
      <c r="D2099" s="123"/>
      <c r="E2099" s="15"/>
    </row>
    <row r="2100" spans="4:5" x14ac:dyDescent="0.3">
      <c r="D2100" s="123"/>
      <c r="E2100" s="15"/>
    </row>
    <row r="2101" spans="4:5" x14ac:dyDescent="0.3">
      <c r="D2101" s="123"/>
      <c r="E2101" s="15"/>
    </row>
    <row r="2102" spans="4:5" x14ac:dyDescent="0.3">
      <c r="D2102" s="123"/>
      <c r="E2102" s="15"/>
    </row>
    <row r="2103" spans="4:5" x14ac:dyDescent="0.3">
      <c r="D2103" s="123"/>
      <c r="E2103" s="15"/>
    </row>
    <row r="2104" spans="4:5" x14ac:dyDescent="0.3">
      <c r="D2104" s="123"/>
      <c r="E2104" s="15"/>
    </row>
    <row r="2105" spans="4:5" x14ac:dyDescent="0.3">
      <c r="D2105" s="123"/>
      <c r="E2105" s="15"/>
    </row>
    <row r="2106" spans="4:5" x14ac:dyDescent="0.3">
      <c r="D2106" s="123"/>
      <c r="E2106" s="15"/>
    </row>
    <row r="2107" spans="4:5" x14ac:dyDescent="0.3">
      <c r="D2107" s="123"/>
      <c r="E2107" s="15"/>
    </row>
    <row r="2108" spans="4:5" x14ac:dyDescent="0.3">
      <c r="D2108" s="123"/>
      <c r="E2108" s="15"/>
    </row>
    <row r="2109" spans="4:5" x14ac:dyDescent="0.3">
      <c r="D2109" s="123"/>
      <c r="E2109" s="15"/>
    </row>
    <row r="2110" spans="4:5" x14ac:dyDescent="0.3">
      <c r="D2110" s="123"/>
      <c r="E2110" s="15"/>
    </row>
    <row r="2111" spans="4:5" x14ac:dyDescent="0.3">
      <c r="D2111" s="123"/>
      <c r="E2111" s="15"/>
    </row>
    <row r="2112" spans="4:5" x14ac:dyDescent="0.3">
      <c r="D2112" s="123"/>
      <c r="E2112" s="15"/>
    </row>
    <row r="2113" spans="4:5" x14ac:dyDescent="0.3">
      <c r="D2113" s="123"/>
      <c r="E2113" s="15"/>
    </row>
    <row r="2114" spans="4:5" x14ac:dyDescent="0.3">
      <c r="D2114" s="123"/>
      <c r="E2114" s="15"/>
    </row>
    <row r="2115" spans="4:5" x14ac:dyDescent="0.3">
      <c r="D2115" s="123"/>
      <c r="E2115" s="15"/>
    </row>
    <row r="2116" spans="4:5" x14ac:dyDescent="0.3">
      <c r="D2116" s="123"/>
      <c r="E2116" s="15"/>
    </row>
    <row r="2117" spans="4:5" x14ac:dyDescent="0.3">
      <c r="D2117" s="123"/>
      <c r="E2117" s="15"/>
    </row>
    <row r="2118" spans="4:5" x14ac:dyDescent="0.3">
      <c r="D2118" s="123"/>
      <c r="E2118" s="15"/>
    </row>
    <row r="2119" spans="4:5" x14ac:dyDescent="0.3">
      <c r="D2119" s="123"/>
      <c r="E2119" s="15"/>
    </row>
    <row r="2120" spans="4:5" x14ac:dyDescent="0.3">
      <c r="D2120" s="123"/>
      <c r="E2120" s="15"/>
    </row>
    <row r="2121" spans="4:5" x14ac:dyDescent="0.3">
      <c r="D2121" s="123"/>
      <c r="E2121" s="15"/>
    </row>
    <row r="2122" spans="4:5" x14ac:dyDescent="0.3">
      <c r="D2122" s="123"/>
      <c r="E2122" s="15"/>
    </row>
    <row r="2123" spans="4:5" x14ac:dyDescent="0.3">
      <c r="D2123" s="123"/>
      <c r="E2123" s="15"/>
    </row>
    <row r="2124" spans="4:5" x14ac:dyDescent="0.3">
      <c r="D2124" s="123"/>
      <c r="E2124" s="15"/>
    </row>
    <row r="2125" spans="4:5" x14ac:dyDescent="0.3">
      <c r="D2125" s="123"/>
      <c r="E2125" s="15"/>
    </row>
    <row r="2126" spans="4:5" x14ac:dyDescent="0.3">
      <c r="D2126" s="123"/>
      <c r="E2126" s="15"/>
    </row>
    <row r="2127" spans="4:5" x14ac:dyDescent="0.3">
      <c r="D2127" s="123"/>
      <c r="E2127" s="15"/>
    </row>
    <row r="2128" spans="4:5" x14ac:dyDescent="0.3">
      <c r="D2128" s="123"/>
      <c r="E2128" s="15"/>
    </row>
    <row r="2129" spans="4:5" x14ac:dyDescent="0.3">
      <c r="D2129" s="123"/>
      <c r="E2129" s="15"/>
    </row>
    <row r="2130" spans="4:5" x14ac:dyDescent="0.3">
      <c r="D2130" s="123"/>
      <c r="E2130" s="15"/>
    </row>
    <row r="2131" spans="4:5" x14ac:dyDescent="0.3">
      <c r="D2131" s="123"/>
      <c r="E2131" s="15"/>
    </row>
    <row r="2132" spans="4:5" x14ac:dyDescent="0.3">
      <c r="D2132" s="123"/>
      <c r="E2132" s="15"/>
    </row>
    <row r="2133" spans="4:5" x14ac:dyDescent="0.3">
      <c r="D2133" s="123"/>
      <c r="E2133" s="15"/>
    </row>
    <row r="2134" spans="4:5" x14ac:dyDescent="0.3">
      <c r="D2134" s="123"/>
      <c r="E2134" s="15"/>
    </row>
    <row r="2135" spans="4:5" x14ac:dyDescent="0.3">
      <c r="D2135" s="123"/>
      <c r="E2135" s="15"/>
    </row>
    <row r="2136" spans="4:5" x14ac:dyDescent="0.3">
      <c r="D2136" s="123"/>
      <c r="E2136" s="15"/>
    </row>
    <row r="2137" spans="4:5" x14ac:dyDescent="0.3">
      <c r="D2137" s="123"/>
      <c r="E2137" s="15"/>
    </row>
    <row r="2138" spans="4:5" x14ac:dyDescent="0.3">
      <c r="D2138" s="123"/>
      <c r="E2138" s="15"/>
    </row>
    <row r="2139" spans="4:5" x14ac:dyDescent="0.3">
      <c r="D2139" s="123"/>
      <c r="E2139" s="15"/>
    </row>
    <row r="2140" spans="4:5" x14ac:dyDescent="0.3">
      <c r="D2140" s="123"/>
      <c r="E2140" s="15"/>
    </row>
    <row r="2141" spans="4:5" x14ac:dyDescent="0.3">
      <c r="D2141" s="123"/>
      <c r="E2141" s="15"/>
    </row>
    <row r="2142" spans="4:5" x14ac:dyDescent="0.3">
      <c r="D2142" s="123"/>
      <c r="E2142" s="15"/>
    </row>
    <row r="2143" spans="4:5" x14ac:dyDescent="0.3">
      <c r="D2143" s="123"/>
      <c r="E2143" s="15"/>
    </row>
    <row r="2144" spans="4:5" x14ac:dyDescent="0.3">
      <c r="D2144" s="123"/>
      <c r="E2144" s="15"/>
    </row>
    <row r="2145" spans="4:5" x14ac:dyDescent="0.3">
      <c r="D2145" s="123"/>
      <c r="E2145" s="15"/>
    </row>
    <row r="2146" spans="4:5" x14ac:dyDescent="0.3">
      <c r="D2146" s="123"/>
      <c r="E2146" s="15"/>
    </row>
    <row r="2147" spans="4:5" x14ac:dyDescent="0.3">
      <c r="D2147" s="123"/>
      <c r="E2147" s="15"/>
    </row>
    <row r="2148" spans="4:5" x14ac:dyDescent="0.3">
      <c r="D2148" s="123"/>
      <c r="E2148" s="15"/>
    </row>
    <row r="2149" spans="4:5" x14ac:dyDescent="0.3">
      <c r="D2149" s="123"/>
      <c r="E2149" s="15"/>
    </row>
    <row r="2150" spans="4:5" x14ac:dyDescent="0.3">
      <c r="D2150" s="123"/>
      <c r="E2150" s="15"/>
    </row>
    <row r="2151" spans="4:5" x14ac:dyDescent="0.3">
      <c r="D2151" s="123"/>
      <c r="E2151" s="15"/>
    </row>
    <row r="2152" spans="4:5" x14ac:dyDescent="0.3">
      <c r="D2152" s="123"/>
      <c r="E2152" s="15"/>
    </row>
    <row r="2153" spans="4:5" x14ac:dyDescent="0.3">
      <c r="D2153" s="123"/>
      <c r="E2153" s="15"/>
    </row>
    <row r="2154" spans="4:5" x14ac:dyDescent="0.3">
      <c r="D2154" s="123"/>
      <c r="E2154" s="15"/>
    </row>
    <row r="2155" spans="4:5" x14ac:dyDescent="0.3">
      <c r="D2155" s="123"/>
      <c r="E2155" s="15"/>
    </row>
    <row r="2156" spans="4:5" x14ac:dyDescent="0.3">
      <c r="D2156" s="123"/>
      <c r="E2156" s="15"/>
    </row>
    <row r="2157" spans="4:5" x14ac:dyDescent="0.3">
      <c r="D2157" s="123"/>
      <c r="E2157" s="15"/>
    </row>
    <row r="2158" spans="4:5" x14ac:dyDescent="0.3">
      <c r="D2158" s="123"/>
      <c r="E2158" s="15"/>
    </row>
    <row r="2159" spans="4:5" x14ac:dyDescent="0.3">
      <c r="D2159" s="123"/>
      <c r="E2159" s="15"/>
    </row>
    <row r="2160" spans="4:5" x14ac:dyDescent="0.3">
      <c r="D2160" s="123"/>
      <c r="E2160" s="15"/>
    </row>
    <row r="2161" spans="4:5" x14ac:dyDescent="0.3">
      <c r="D2161" s="123"/>
      <c r="E2161" s="15"/>
    </row>
    <row r="2162" spans="4:5" x14ac:dyDescent="0.3">
      <c r="D2162" s="123"/>
      <c r="E2162" s="15"/>
    </row>
    <row r="2163" spans="4:5" x14ac:dyDescent="0.3">
      <c r="D2163" s="123"/>
      <c r="E2163" s="15"/>
    </row>
    <row r="2164" spans="4:5" x14ac:dyDescent="0.3">
      <c r="D2164" s="123"/>
      <c r="E2164" s="15"/>
    </row>
    <row r="2165" spans="4:5" x14ac:dyDescent="0.3">
      <c r="D2165" s="123"/>
      <c r="E2165" s="15"/>
    </row>
    <row r="2166" spans="4:5" x14ac:dyDescent="0.3">
      <c r="D2166" s="123"/>
      <c r="E2166" s="15"/>
    </row>
    <row r="2167" spans="4:5" x14ac:dyDescent="0.3">
      <c r="D2167" s="123"/>
      <c r="E2167" s="15"/>
    </row>
    <row r="2168" spans="4:5" x14ac:dyDescent="0.3">
      <c r="D2168" s="123"/>
      <c r="E2168" s="15"/>
    </row>
    <row r="2169" spans="4:5" x14ac:dyDescent="0.3">
      <c r="D2169" s="123"/>
      <c r="E2169" s="15"/>
    </row>
    <row r="2170" spans="4:5" x14ac:dyDescent="0.3">
      <c r="D2170" s="123"/>
      <c r="E2170" s="15"/>
    </row>
    <row r="2171" spans="4:5" x14ac:dyDescent="0.3">
      <c r="D2171" s="123"/>
      <c r="E2171" s="15"/>
    </row>
    <row r="2172" spans="4:5" x14ac:dyDescent="0.3">
      <c r="D2172" s="123"/>
      <c r="E2172" s="15"/>
    </row>
    <row r="2173" spans="4:5" x14ac:dyDescent="0.3">
      <c r="D2173" s="123"/>
      <c r="E2173" s="15"/>
    </row>
    <row r="2174" spans="4:5" x14ac:dyDescent="0.3">
      <c r="D2174" s="123"/>
      <c r="E2174" s="15"/>
    </row>
    <row r="2175" spans="4:5" x14ac:dyDescent="0.3">
      <c r="D2175" s="123"/>
      <c r="E2175" s="15"/>
    </row>
    <row r="2176" spans="4:5" x14ac:dyDescent="0.3">
      <c r="D2176" s="123"/>
      <c r="E2176" s="15"/>
    </row>
    <row r="2177" spans="4:5" x14ac:dyDescent="0.3">
      <c r="D2177" s="123"/>
      <c r="E2177" s="15"/>
    </row>
    <row r="2178" spans="4:5" x14ac:dyDescent="0.3">
      <c r="D2178" s="123"/>
      <c r="E2178" s="15"/>
    </row>
    <row r="2179" spans="4:5" x14ac:dyDescent="0.3">
      <c r="D2179" s="123"/>
      <c r="E2179" s="15"/>
    </row>
    <row r="2180" spans="4:5" x14ac:dyDescent="0.3">
      <c r="D2180" s="123"/>
      <c r="E2180" s="15"/>
    </row>
    <row r="2181" spans="4:5" x14ac:dyDescent="0.3">
      <c r="D2181" s="123"/>
      <c r="E2181" s="15"/>
    </row>
    <row r="2182" spans="4:5" x14ac:dyDescent="0.3">
      <c r="D2182" s="123"/>
      <c r="E2182" s="15"/>
    </row>
    <row r="2183" spans="4:5" x14ac:dyDescent="0.3">
      <c r="D2183" s="123"/>
      <c r="E2183" s="15"/>
    </row>
    <row r="2184" spans="4:5" x14ac:dyDescent="0.3">
      <c r="D2184" s="123"/>
      <c r="E2184" s="15"/>
    </row>
    <row r="2185" spans="4:5" x14ac:dyDescent="0.3">
      <c r="D2185" s="123"/>
      <c r="E2185" s="15"/>
    </row>
    <row r="2186" spans="4:5" x14ac:dyDescent="0.3">
      <c r="D2186" s="123"/>
      <c r="E2186" s="15"/>
    </row>
    <row r="2187" spans="4:5" x14ac:dyDescent="0.3">
      <c r="D2187" s="123"/>
      <c r="E2187" s="15"/>
    </row>
    <row r="2188" spans="4:5" x14ac:dyDescent="0.3">
      <c r="D2188" s="123"/>
      <c r="E2188" s="15"/>
    </row>
    <row r="2189" spans="4:5" x14ac:dyDescent="0.3">
      <c r="D2189" s="123"/>
      <c r="E2189" s="15"/>
    </row>
    <row r="2190" spans="4:5" x14ac:dyDescent="0.3">
      <c r="D2190" s="123"/>
      <c r="E2190" s="15"/>
    </row>
    <row r="2191" spans="4:5" x14ac:dyDescent="0.3">
      <c r="D2191" s="123"/>
      <c r="E2191" s="15"/>
    </row>
    <row r="2192" spans="4:5" x14ac:dyDescent="0.3">
      <c r="D2192" s="123"/>
      <c r="E2192" s="15"/>
    </row>
    <row r="2193" spans="4:5" x14ac:dyDescent="0.3">
      <c r="D2193" s="123"/>
      <c r="E2193" s="15"/>
    </row>
    <row r="2194" spans="4:5" x14ac:dyDescent="0.3">
      <c r="D2194" s="123"/>
      <c r="E2194" s="15"/>
    </row>
    <row r="2195" spans="4:5" x14ac:dyDescent="0.3">
      <c r="D2195" s="123"/>
      <c r="E2195" s="15"/>
    </row>
    <row r="2196" spans="4:5" x14ac:dyDescent="0.3">
      <c r="D2196" s="123"/>
      <c r="E2196" s="15"/>
    </row>
    <row r="2197" spans="4:5" x14ac:dyDescent="0.3">
      <c r="D2197" s="123"/>
      <c r="E2197" s="15"/>
    </row>
    <row r="2198" spans="4:5" x14ac:dyDescent="0.3">
      <c r="D2198" s="123"/>
      <c r="E2198" s="15"/>
    </row>
    <row r="2199" spans="4:5" x14ac:dyDescent="0.3">
      <c r="D2199" s="123"/>
      <c r="E2199" s="15"/>
    </row>
    <row r="2200" spans="4:5" x14ac:dyDescent="0.3">
      <c r="D2200" s="123"/>
      <c r="E2200" s="15"/>
    </row>
    <row r="2201" spans="4:5" x14ac:dyDescent="0.3">
      <c r="D2201" s="123"/>
      <c r="E2201" s="15"/>
    </row>
    <row r="2202" spans="4:5" x14ac:dyDescent="0.3">
      <c r="D2202" s="123"/>
      <c r="E2202" s="15"/>
    </row>
    <row r="2203" spans="4:5" x14ac:dyDescent="0.3">
      <c r="D2203" s="123"/>
      <c r="E2203" s="15"/>
    </row>
    <row r="2204" spans="4:5" x14ac:dyDescent="0.3">
      <c r="D2204" s="123"/>
      <c r="E2204" s="15"/>
    </row>
    <row r="2205" spans="4:5" x14ac:dyDescent="0.3">
      <c r="D2205" s="123"/>
      <c r="E2205" s="15"/>
    </row>
    <row r="2206" spans="4:5" x14ac:dyDescent="0.3">
      <c r="D2206" s="123"/>
      <c r="E2206" s="15"/>
    </row>
    <row r="2207" spans="4:5" x14ac:dyDescent="0.3">
      <c r="D2207" s="123"/>
      <c r="E2207" s="15"/>
    </row>
    <row r="2208" spans="4:5" x14ac:dyDescent="0.3">
      <c r="D2208" s="123"/>
      <c r="E2208" s="15"/>
    </row>
    <row r="2209" spans="4:5" x14ac:dyDescent="0.3">
      <c r="D2209" s="123"/>
      <c r="E2209" s="15"/>
    </row>
    <row r="2210" spans="4:5" x14ac:dyDescent="0.3">
      <c r="D2210" s="123"/>
      <c r="E2210" s="15"/>
    </row>
    <row r="2211" spans="4:5" x14ac:dyDescent="0.3">
      <c r="D2211" s="123"/>
      <c r="E2211" s="15"/>
    </row>
    <row r="2212" spans="4:5" x14ac:dyDescent="0.3">
      <c r="D2212" s="123"/>
      <c r="E2212" s="15"/>
    </row>
    <row r="2213" spans="4:5" x14ac:dyDescent="0.3">
      <c r="D2213" s="123"/>
      <c r="E2213" s="15"/>
    </row>
    <row r="2214" spans="4:5" x14ac:dyDescent="0.3">
      <c r="D2214" s="123"/>
      <c r="E2214" s="15"/>
    </row>
    <row r="2215" spans="4:5" x14ac:dyDescent="0.3">
      <c r="D2215" s="123"/>
      <c r="E2215" s="15"/>
    </row>
    <row r="2216" spans="4:5" x14ac:dyDescent="0.3">
      <c r="D2216" s="123"/>
      <c r="E2216" s="15"/>
    </row>
    <row r="2217" spans="4:5" x14ac:dyDescent="0.3">
      <c r="D2217" s="123"/>
      <c r="E2217" s="15"/>
    </row>
    <row r="2218" spans="4:5" x14ac:dyDescent="0.3">
      <c r="D2218" s="123"/>
      <c r="E2218" s="15"/>
    </row>
    <row r="2219" spans="4:5" x14ac:dyDescent="0.3">
      <c r="D2219" s="123"/>
      <c r="E2219" s="15"/>
    </row>
    <row r="2220" spans="4:5" x14ac:dyDescent="0.3">
      <c r="D2220" s="123"/>
      <c r="E2220" s="15"/>
    </row>
    <row r="2221" spans="4:5" x14ac:dyDescent="0.3">
      <c r="D2221" s="123"/>
      <c r="E2221" s="15"/>
    </row>
    <row r="2222" spans="4:5" x14ac:dyDescent="0.3">
      <c r="D2222" s="123"/>
      <c r="E2222" s="15"/>
    </row>
    <row r="2223" spans="4:5" x14ac:dyDescent="0.3">
      <c r="D2223" s="123"/>
      <c r="E2223" s="15"/>
    </row>
    <row r="2224" spans="4:5" x14ac:dyDescent="0.3">
      <c r="D2224" s="123"/>
      <c r="E2224" s="15"/>
    </row>
    <row r="2225" spans="4:5" x14ac:dyDescent="0.3">
      <c r="D2225" s="123"/>
      <c r="E2225" s="15"/>
    </row>
    <row r="2226" spans="4:5" x14ac:dyDescent="0.3">
      <c r="D2226" s="123"/>
      <c r="E2226" s="15"/>
    </row>
    <row r="2227" spans="4:5" x14ac:dyDescent="0.3">
      <c r="D2227" s="123"/>
      <c r="E2227" s="15"/>
    </row>
    <row r="2228" spans="4:5" x14ac:dyDescent="0.3">
      <c r="D2228" s="123"/>
      <c r="E2228" s="15"/>
    </row>
    <row r="2229" spans="4:5" x14ac:dyDescent="0.3">
      <c r="D2229" s="123"/>
      <c r="E2229" s="15"/>
    </row>
    <row r="2230" spans="4:5" x14ac:dyDescent="0.3">
      <c r="D2230" s="123"/>
      <c r="E2230" s="15"/>
    </row>
    <row r="2231" spans="4:5" x14ac:dyDescent="0.3">
      <c r="D2231" s="123"/>
      <c r="E2231" s="15"/>
    </row>
    <row r="2232" spans="4:5" x14ac:dyDescent="0.3">
      <c r="D2232" s="123"/>
      <c r="E2232" s="15"/>
    </row>
    <row r="2233" spans="4:5" x14ac:dyDescent="0.3">
      <c r="D2233" s="123"/>
      <c r="E2233" s="15"/>
    </row>
    <row r="2234" spans="4:5" x14ac:dyDescent="0.3">
      <c r="D2234" s="123"/>
      <c r="E2234" s="15"/>
    </row>
    <row r="2235" spans="4:5" x14ac:dyDescent="0.3">
      <c r="D2235" s="123"/>
      <c r="E2235" s="15"/>
    </row>
    <row r="2236" spans="4:5" x14ac:dyDescent="0.3">
      <c r="D2236" s="123"/>
      <c r="E2236" s="15"/>
    </row>
    <row r="2237" spans="4:5" x14ac:dyDescent="0.3">
      <c r="D2237" s="123"/>
      <c r="E2237" s="15"/>
    </row>
    <row r="2238" spans="4:5" x14ac:dyDescent="0.3">
      <c r="D2238" s="123"/>
      <c r="E2238" s="15"/>
    </row>
    <row r="2239" spans="4:5" x14ac:dyDescent="0.3">
      <c r="D2239" s="123"/>
      <c r="E2239" s="15"/>
    </row>
    <row r="2240" spans="4:5" x14ac:dyDescent="0.3">
      <c r="D2240" s="123"/>
      <c r="E2240" s="15"/>
    </row>
    <row r="2241" spans="4:5" x14ac:dyDescent="0.3">
      <c r="D2241" s="123"/>
      <c r="E2241" s="15"/>
    </row>
    <row r="2242" spans="4:5" x14ac:dyDescent="0.3">
      <c r="D2242" s="123"/>
      <c r="E2242" s="15"/>
    </row>
    <row r="2243" spans="4:5" x14ac:dyDescent="0.3">
      <c r="D2243" s="123"/>
      <c r="E2243" s="15"/>
    </row>
    <row r="2244" spans="4:5" x14ac:dyDescent="0.3">
      <c r="D2244" s="123"/>
      <c r="E2244" s="15"/>
    </row>
    <row r="2245" spans="4:5" x14ac:dyDescent="0.3">
      <c r="D2245" s="123"/>
      <c r="E2245" s="15"/>
    </row>
    <row r="2246" spans="4:5" x14ac:dyDescent="0.3">
      <c r="D2246" s="123"/>
      <c r="E2246" s="15"/>
    </row>
    <row r="2247" spans="4:5" x14ac:dyDescent="0.3">
      <c r="D2247" s="123"/>
      <c r="E2247" s="15"/>
    </row>
    <row r="2248" spans="4:5" x14ac:dyDescent="0.3">
      <c r="D2248" s="123"/>
      <c r="E2248" s="15"/>
    </row>
    <row r="2249" spans="4:5" x14ac:dyDescent="0.3">
      <c r="D2249" s="123"/>
      <c r="E2249" s="15"/>
    </row>
    <row r="2250" spans="4:5" x14ac:dyDescent="0.3">
      <c r="D2250" s="123"/>
      <c r="E2250" s="15"/>
    </row>
    <row r="2251" spans="4:5" x14ac:dyDescent="0.3">
      <c r="D2251" s="123"/>
      <c r="E2251" s="15"/>
    </row>
    <row r="2252" spans="4:5" x14ac:dyDescent="0.3">
      <c r="D2252" s="123"/>
      <c r="E2252" s="15"/>
    </row>
    <row r="2253" spans="4:5" x14ac:dyDescent="0.3">
      <c r="D2253" s="123"/>
      <c r="E2253" s="15"/>
    </row>
    <row r="2254" spans="4:5" x14ac:dyDescent="0.3">
      <c r="D2254" s="123"/>
      <c r="E2254" s="15"/>
    </row>
    <row r="2255" spans="4:5" x14ac:dyDescent="0.3">
      <c r="D2255" s="123"/>
      <c r="E2255" s="15"/>
    </row>
    <row r="2256" spans="4:5" x14ac:dyDescent="0.3">
      <c r="D2256" s="123"/>
      <c r="E2256" s="15"/>
    </row>
    <row r="2257" spans="4:5" x14ac:dyDescent="0.3">
      <c r="D2257" s="123"/>
      <c r="E2257" s="15"/>
    </row>
    <row r="2258" spans="4:5" x14ac:dyDescent="0.3">
      <c r="D2258" s="123"/>
      <c r="E2258" s="15"/>
    </row>
    <row r="2259" spans="4:5" x14ac:dyDescent="0.3">
      <c r="D2259" s="123"/>
      <c r="E2259" s="15"/>
    </row>
    <row r="2260" spans="4:5" x14ac:dyDescent="0.3">
      <c r="D2260" s="123"/>
      <c r="E2260" s="15"/>
    </row>
    <row r="2261" spans="4:5" x14ac:dyDescent="0.3">
      <c r="D2261" s="123"/>
      <c r="E2261" s="15"/>
    </row>
    <row r="2262" spans="4:5" x14ac:dyDescent="0.3">
      <c r="D2262" s="123"/>
      <c r="E2262" s="15"/>
    </row>
    <row r="2263" spans="4:5" x14ac:dyDescent="0.3">
      <c r="D2263" s="123"/>
      <c r="E2263" s="15"/>
    </row>
    <row r="2264" spans="4:5" x14ac:dyDescent="0.3">
      <c r="D2264" s="123"/>
      <c r="E2264" s="15"/>
    </row>
    <row r="2265" spans="4:5" x14ac:dyDescent="0.3">
      <c r="D2265" s="123"/>
      <c r="E2265" s="15"/>
    </row>
    <row r="2266" spans="4:5" x14ac:dyDescent="0.3">
      <c r="D2266" s="123"/>
      <c r="E2266" s="15"/>
    </row>
    <row r="2267" spans="4:5" x14ac:dyDescent="0.3">
      <c r="D2267" s="123"/>
      <c r="E2267" s="15"/>
    </row>
    <row r="2268" spans="4:5" x14ac:dyDescent="0.3">
      <c r="D2268" s="123"/>
      <c r="E2268" s="15"/>
    </row>
    <row r="2269" spans="4:5" x14ac:dyDescent="0.3">
      <c r="D2269" s="123"/>
      <c r="E2269" s="15"/>
    </row>
    <row r="2270" spans="4:5" x14ac:dyDescent="0.3">
      <c r="D2270" s="123"/>
      <c r="E2270" s="15"/>
    </row>
    <row r="2271" spans="4:5" x14ac:dyDescent="0.3">
      <c r="D2271" s="123"/>
      <c r="E2271" s="15"/>
    </row>
    <row r="2272" spans="4:5" x14ac:dyDescent="0.3">
      <c r="D2272" s="123"/>
      <c r="E2272" s="15"/>
    </row>
    <row r="2273" spans="4:5" x14ac:dyDescent="0.3">
      <c r="D2273" s="123"/>
      <c r="E2273" s="15"/>
    </row>
    <row r="2274" spans="4:5" x14ac:dyDescent="0.3">
      <c r="D2274" s="123"/>
      <c r="E2274" s="15"/>
    </row>
    <row r="2275" spans="4:5" x14ac:dyDescent="0.3">
      <c r="D2275" s="123"/>
      <c r="E2275" s="15"/>
    </row>
    <row r="2276" spans="4:5" x14ac:dyDescent="0.3">
      <c r="D2276" s="123"/>
      <c r="E2276" s="15"/>
    </row>
    <row r="2277" spans="4:5" x14ac:dyDescent="0.3">
      <c r="D2277" s="123"/>
      <c r="E2277" s="15"/>
    </row>
    <row r="2278" spans="4:5" x14ac:dyDescent="0.3">
      <c r="D2278" s="123"/>
      <c r="E2278" s="15"/>
    </row>
    <row r="2279" spans="4:5" x14ac:dyDescent="0.3">
      <c r="D2279" s="123"/>
      <c r="E2279" s="15"/>
    </row>
    <row r="2280" spans="4:5" x14ac:dyDescent="0.3">
      <c r="D2280" s="123"/>
      <c r="E2280" s="15"/>
    </row>
    <row r="2281" spans="4:5" x14ac:dyDescent="0.3">
      <c r="D2281" s="123"/>
      <c r="E2281" s="15"/>
    </row>
    <row r="2282" spans="4:5" x14ac:dyDescent="0.3">
      <c r="D2282" s="123"/>
      <c r="E2282" s="15"/>
    </row>
    <row r="2283" spans="4:5" x14ac:dyDescent="0.3">
      <c r="D2283" s="123"/>
      <c r="E2283" s="15"/>
    </row>
    <row r="2284" spans="4:5" x14ac:dyDescent="0.3">
      <c r="D2284" s="123"/>
      <c r="E2284" s="15"/>
    </row>
    <row r="2285" spans="4:5" x14ac:dyDescent="0.3">
      <c r="D2285" s="123"/>
      <c r="E2285" s="15"/>
    </row>
    <row r="2286" spans="4:5" x14ac:dyDescent="0.3">
      <c r="D2286" s="123"/>
      <c r="E2286" s="15"/>
    </row>
    <row r="2287" spans="4:5" x14ac:dyDescent="0.3">
      <c r="D2287" s="123"/>
      <c r="E2287" s="15"/>
    </row>
    <row r="2288" spans="4:5" x14ac:dyDescent="0.3">
      <c r="D2288" s="123"/>
      <c r="E2288" s="15"/>
    </row>
    <row r="2289" spans="4:5" x14ac:dyDescent="0.3">
      <c r="D2289" s="123"/>
      <c r="E2289" s="15"/>
    </row>
    <row r="2290" spans="4:5" x14ac:dyDescent="0.3">
      <c r="D2290" s="123"/>
      <c r="E2290" s="15"/>
    </row>
    <row r="2291" spans="4:5" x14ac:dyDescent="0.3">
      <c r="D2291" s="123"/>
      <c r="E2291" s="15"/>
    </row>
    <row r="2292" spans="4:5" x14ac:dyDescent="0.3">
      <c r="D2292" s="123"/>
      <c r="E2292" s="15"/>
    </row>
    <row r="2293" spans="4:5" x14ac:dyDescent="0.3">
      <c r="D2293" s="123"/>
      <c r="E2293" s="15"/>
    </row>
    <row r="2294" spans="4:5" x14ac:dyDescent="0.3">
      <c r="D2294" s="123"/>
      <c r="E2294" s="15"/>
    </row>
    <row r="2295" spans="4:5" x14ac:dyDescent="0.3">
      <c r="D2295" s="123"/>
      <c r="E2295" s="15"/>
    </row>
    <row r="2296" spans="4:5" x14ac:dyDescent="0.3">
      <c r="D2296" s="123"/>
      <c r="E2296" s="15"/>
    </row>
    <row r="2297" spans="4:5" x14ac:dyDescent="0.3">
      <c r="D2297" s="123"/>
      <c r="E2297" s="15"/>
    </row>
    <row r="2298" spans="4:5" x14ac:dyDescent="0.3">
      <c r="D2298" s="123"/>
      <c r="E2298" s="15"/>
    </row>
    <row r="2299" spans="4:5" x14ac:dyDescent="0.3">
      <c r="D2299" s="123"/>
      <c r="E2299" s="15"/>
    </row>
    <row r="2300" spans="4:5" x14ac:dyDescent="0.3">
      <c r="D2300" s="123"/>
      <c r="E2300" s="15"/>
    </row>
    <row r="2301" spans="4:5" x14ac:dyDescent="0.3">
      <c r="D2301" s="123"/>
      <c r="E2301" s="15"/>
    </row>
    <row r="2302" spans="4:5" x14ac:dyDescent="0.3">
      <c r="D2302" s="123"/>
      <c r="E2302" s="15"/>
    </row>
    <row r="2303" spans="4:5" x14ac:dyDescent="0.3">
      <c r="D2303" s="123"/>
      <c r="E2303" s="15"/>
    </row>
    <row r="2304" spans="4:5" x14ac:dyDescent="0.3">
      <c r="D2304" s="123"/>
      <c r="E2304" s="15"/>
    </row>
    <row r="2305" spans="4:5" x14ac:dyDescent="0.3">
      <c r="D2305" s="123"/>
      <c r="E2305" s="15"/>
    </row>
    <row r="2306" spans="4:5" x14ac:dyDescent="0.3">
      <c r="D2306" s="123"/>
      <c r="E2306" s="15"/>
    </row>
    <row r="2307" spans="4:5" x14ac:dyDescent="0.3">
      <c r="D2307" s="123"/>
      <c r="E2307" s="15"/>
    </row>
    <row r="2308" spans="4:5" x14ac:dyDescent="0.3">
      <c r="D2308" s="123"/>
      <c r="E2308" s="15"/>
    </row>
    <row r="2309" spans="4:5" x14ac:dyDescent="0.3">
      <c r="D2309" s="123"/>
      <c r="E2309" s="15"/>
    </row>
    <row r="2310" spans="4:5" x14ac:dyDescent="0.3">
      <c r="D2310" s="123"/>
      <c r="E2310" s="15"/>
    </row>
    <row r="2311" spans="4:5" x14ac:dyDescent="0.3">
      <c r="D2311" s="123"/>
      <c r="E2311" s="15"/>
    </row>
    <row r="2312" spans="4:5" x14ac:dyDescent="0.3">
      <c r="D2312" s="123"/>
      <c r="E2312" s="15"/>
    </row>
    <row r="2313" spans="4:5" x14ac:dyDescent="0.3">
      <c r="D2313" s="123"/>
      <c r="E2313" s="15"/>
    </row>
    <row r="2314" spans="4:5" x14ac:dyDescent="0.3">
      <c r="D2314" s="123"/>
      <c r="E2314" s="15"/>
    </row>
    <row r="2315" spans="4:5" x14ac:dyDescent="0.3">
      <c r="D2315" s="123"/>
      <c r="E2315" s="15"/>
    </row>
    <row r="2316" spans="4:5" x14ac:dyDescent="0.3">
      <c r="D2316" s="123"/>
      <c r="E2316" s="15"/>
    </row>
    <row r="2317" spans="4:5" x14ac:dyDescent="0.3">
      <c r="D2317" s="123"/>
      <c r="E2317" s="15"/>
    </row>
    <row r="2318" spans="4:5" x14ac:dyDescent="0.3">
      <c r="D2318" s="123"/>
      <c r="E2318" s="15"/>
    </row>
    <row r="2319" spans="4:5" x14ac:dyDescent="0.3">
      <c r="D2319" s="123"/>
      <c r="E2319" s="15"/>
    </row>
    <row r="2320" spans="4:5" x14ac:dyDescent="0.3">
      <c r="D2320" s="123"/>
      <c r="E2320" s="15"/>
    </row>
    <row r="2321" spans="4:5" x14ac:dyDescent="0.3">
      <c r="D2321" s="123"/>
      <c r="E2321" s="15"/>
    </row>
    <row r="2322" spans="4:5" x14ac:dyDescent="0.3">
      <c r="D2322" s="123"/>
      <c r="E2322" s="15"/>
    </row>
    <row r="2323" spans="4:5" x14ac:dyDescent="0.3">
      <c r="D2323" s="123"/>
      <c r="E2323" s="15"/>
    </row>
    <row r="2324" spans="4:5" x14ac:dyDescent="0.3">
      <c r="D2324" s="123"/>
      <c r="E2324" s="15"/>
    </row>
    <row r="2325" spans="4:5" x14ac:dyDescent="0.3">
      <c r="D2325" s="123"/>
      <c r="E2325" s="15"/>
    </row>
    <row r="2326" spans="4:5" x14ac:dyDescent="0.3">
      <c r="D2326" s="123"/>
      <c r="E2326" s="15"/>
    </row>
    <row r="2327" spans="4:5" x14ac:dyDescent="0.3">
      <c r="D2327" s="123"/>
      <c r="E2327" s="15"/>
    </row>
    <row r="2328" spans="4:5" x14ac:dyDescent="0.3">
      <c r="D2328" s="123"/>
      <c r="E2328" s="15"/>
    </row>
    <row r="2329" spans="4:5" x14ac:dyDescent="0.3">
      <c r="D2329" s="123"/>
      <c r="E2329" s="15"/>
    </row>
    <row r="2330" spans="4:5" x14ac:dyDescent="0.3">
      <c r="D2330" s="123"/>
      <c r="E2330" s="15"/>
    </row>
    <row r="2331" spans="4:5" x14ac:dyDescent="0.3">
      <c r="D2331" s="123"/>
      <c r="E2331" s="15"/>
    </row>
    <row r="2332" spans="4:5" x14ac:dyDescent="0.3">
      <c r="D2332" s="123"/>
      <c r="E2332" s="15"/>
    </row>
    <row r="2333" spans="4:5" x14ac:dyDescent="0.3">
      <c r="D2333" s="123"/>
      <c r="E2333" s="15"/>
    </row>
    <row r="2334" spans="4:5" x14ac:dyDescent="0.3">
      <c r="D2334" s="123"/>
      <c r="E2334" s="15"/>
    </row>
    <row r="2335" spans="4:5" x14ac:dyDescent="0.3">
      <c r="D2335" s="123"/>
      <c r="E2335" s="15"/>
    </row>
    <row r="2336" spans="4:5" x14ac:dyDescent="0.3">
      <c r="D2336" s="123"/>
      <c r="E2336" s="15"/>
    </row>
    <row r="2337" spans="4:5" x14ac:dyDescent="0.3">
      <c r="D2337" s="123"/>
      <c r="E2337" s="15"/>
    </row>
    <row r="2338" spans="4:5" x14ac:dyDescent="0.3">
      <c r="D2338" s="123"/>
      <c r="E2338" s="15"/>
    </row>
    <row r="2339" spans="4:5" x14ac:dyDescent="0.3">
      <c r="D2339" s="123"/>
      <c r="E2339" s="15"/>
    </row>
    <row r="2340" spans="4:5" x14ac:dyDescent="0.3">
      <c r="D2340" s="123"/>
      <c r="E2340" s="15"/>
    </row>
    <row r="2341" spans="4:5" x14ac:dyDescent="0.3">
      <c r="D2341" s="123"/>
      <c r="E2341" s="15"/>
    </row>
    <row r="2342" spans="4:5" x14ac:dyDescent="0.3">
      <c r="D2342" s="123"/>
      <c r="E2342" s="15"/>
    </row>
    <row r="2343" spans="4:5" x14ac:dyDescent="0.3">
      <c r="D2343" s="123"/>
      <c r="E2343" s="15"/>
    </row>
    <row r="2344" spans="4:5" x14ac:dyDescent="0.3">
      <c r="D2344" s="123"/>
      <c r="E2344" s="15"/>
    </row>
    <row r="2345" spans="4:5" x14ac:dyDescent="0.3">
      <c r="D2345" s="123"/>
      <c r="E2345" s="15"/>
    </row>
    <row r="2346" spans="4:5" x14ac:dyDescent="0.3">
      <c r="D2346" s="123"/>
      <c r="E2346" s="15"/>
    </row>
    <row r="2347" spans="4:5" x14ac:dyDescent="0.3">
      <c r="D2347" s="123"/>
      <c r="E2347" s="15"/>
    </row>
    <row r="2348" spans="4:5" x14ac:dyDescent="0.3">
      <c r="D2348" s="123"/>
      <c r="E2348" s="15"/>
    </row>
    <row r="2349" spans="4:5" x14ac:dyDescent="0.3">
      <c r="D2349" s="123"/>
      <c r="E2349" s="15"/>
    </row>
    <row r="2350" spans="4:5" x14ac:dyDescent="0.3">
      <c r="D2350" s="123"/>
      <c r="E2350" s="15"/>
    </row>
    <row r="2351" spans="4:5" x14ac:dyDescent="0.3">
      <c r="D2351" s="123"/>
      <c r="E2351" s="15"/>
    </row>
    <row r="2352" spans="4:5" x14ac:dyDescent="0.3">
      <c r="D2352" s="123"/>
      <c r="E2352" s="15"/>
    </row>
    <row r="2353" spans="4:5" x14ac:dyDescent="0.3">
      <c r="D2353" s="123"/>
      <c r="E2353" s="15"/>
    </row>
    <row r="2354" spans="4:5" x14ac:dyDescent="0.3">
      <c r="D2354" s="123"/>
      <c r="E2354" s="15"/>
    </row>
    <row r="2355" spans="4:5" x14ac:dyDescent="0.3">
      <c r="D2355" s="123"/>
      <c r="E2355" s="15"/>
    </row>
    <row r="2356" spans="4:5" x14ac:dyDescent="0.3">
      <c r="D2356" s="123"/>
      <c r="E2356" s="15"/>
    </row>
    <row r="2357" spans="4:5" x14ac:dyDescent="0.3">
      <c r="D2357" s="123"/>
      <c r="E2357" s="15"/>
    </row>
    <row r="2358" spans="4:5" x14ac:dyDescent="0.3">
      <c r="D2358" s="123"/>
      <c r="E2358" s="15"/>
    </row>
    <row r="2359" spans="4:5" x14ac:dyDescent="0.3">
      <c r="D2359" s="123"/>
      <c r="E2359" s="15"/>
    </row>
    <row r="2360" spans="4:5" x14ac:dyDescent="0.3">
      <c r="D2360" s="123"/>
      <c r="E2360" s="15"/>
    </row>
    <row r="2361" spans="4:5" x14ac:dyDescent="0.3">
      <c r="D2361" s="123"/>
      <c r="E2361" s="15"/>
    </row>
    <row r="2362" spans="4:5" x14ac:dyDescent="0.3">
      <c r="D2362" s="123"/>
      <c r="E2362" s="15"/>
    </row>
    <row r="2363" spans="4:5" x14ac:dyDescent="0.3">
      <c r="D2363" s="123"/>
      <c r="E2363" s="15"/>
    </row>
    <row r="2364" spans="4:5" x14ac:dyDescent="0.3">
      <c r="D2364" s="123"/>
      <c r="E2364" s="15"/>
    </row>
    <row r="2365" spans="4:5" x14ac:dyDescent="0.3">
      <c r="D2365" s="123"/>
      <c r="E2365" s="15"/>
    </row>
    <row r="2366" spans="4:5" x14ac:dyDescent="0.3">
      <c r="D2366" s="123"/>
      <c r="E2366" s="15"/>
    </row>
    <row r="2367" spans="4:5" x14ac:dyDescent="0.3">
      <c r="D2367" s="123"/>
      <c r="E2367" s="15"/>
    </row>
    <row r="2368" spans="4:5" x14ac:dyDescent="0.3">
      <c r="D2368" s="123"/>
      <c r="E2368" s="15"/>
    </row>
    <row r="2369" spans="4:5" x14ac:dyDescent="0.3">
      <c r="D2369" s="123"/>
      <c r="E2369" s="15"/>
    </row>
    <row r="2370" spans="4:5" x14ac:dyDescent="0.3">
      <c r="D2370" s="123"/>
      <c r="E2370" s="15"/>
    </row>
    <row r="2371" spans="4:5" x14ac:dyDescent="0.3">
      <c r="D2371" s="123"/>
      <c r="E2371" s="15"/>
    </row>
    <row r="2372" spans="4:5" x14ac:dyDescent="0.3">
      <c r="D2372" s="123"/>
      <c r="E2372" s="15"/>
    </row>
    <row r="2373" spans="4:5" x14ac:dyDescent="0.3">
      <c r="D2373" s="123"/>
      <c r="E2373" s="15"/>
    </row>
    <row r="2374" spans="4:5" x14ac:dyDescent="0.3">
      <c r="D2374" s="123"/>
      <c r="E2374" s="15"/>
    </row>
    <row r="2375" spans="4:5" x14ac:dyDescent="0.3">
      <c r="D2375" s="123"/>
      <c r="E2375" s="15"/>
    </row>
    <row r="2376" spans="4:5" x14ac:dyDescent="0.3">
      <c r="D2376" s="123"/>
      <c r="E2376" s="15"/>
    </row>
    <row r="2377" spans="4:5" x14ac:dyDescent="0.3">
      <c r="D2377" s="123"/>
      <c r="E2377" s="15"/>
    </row>
    <row r="2378" spans="4:5" x14ac:dyDescent="0.3">
      <c r="D2378" s="123"/>
      <c r="E2378" s="15"/>
    </row>
    <row r="2379" spans="4:5" x14ac:dyDescent="0.3">
      <c r="D2379" s="123"/>
      <c r="E2379" s="15"/>
    </row>
    <row r="2380" spans="4:5" x14ac:dyDescent="0.3">
      <c r="D2380" s="123"/>
      <c r="E2380" s="15"/>
    </row>
    <row r="2381" spans="4:5" x14ac:dyDescent="0.3">
      <c r="D2381" s="123"/>
      <c r="E2381" s="15"/>
    </row>
    <row r="2382" spans="4:5" x14ac:dyDescent="0.3">
      <c r="D2382" s="123"/>
      <c r="E2382" s="15"/>
    </row>
    <row r="2383" spans="4:5" x14ac:dyDescent="0.3">
      <c r="D2383" s="123"/>
      <c r="E2383" s="15"/>
    </row>
    <row r="2384" spans="4:5" x14ac:dyDescent="0.3">
      <c r="D2384" s="123"/>
      <c r="E2384" s="15"/>
    </row>
    <row r="2385" spans="4:5" x14ac:dyDescent="0.3">
      <c r="D2385" s="123"/>
      <c r="E2385" s="15"/>
    </row>
    <row r="2386" spans="4:5" x14ac:dyDescent="0.3">
      <c r="D2386" s="123"/>
      <c r="E2386" s="15"/>
    </row>
    <row r="2387" spans="4:5" x14ac:dyDescent="0.3">
      <c r="D2387" s="123"/>
      <c r="E2387" s="15"/>
    </row>
    <row r="2388" spans="4:5" x14ac:dyDescent="0.3">
      <c r="D2388" s="123"/>
      <c r="E2388" s="15"/>
    </row>
    <row r="2389" spans="4:5" x14ac:dyDescent="0.3">
      <c r="D2389" s="123"/>
      <c r="E2389" s="15"/>
    </row>
    <row r="2390" spans="4:5" x14ac:dyDescent="0.3">
      <c r="D2390" s="123"/>
      <c r="E2390" s="15"/>
    </row>
    <row r="2391" spans="4:5" x14ac:dyDescent="0.3">
      <c r="D2391" s="123"/>
      <c r="E2391" s="15"/>
    </row>
    <row r="2392" spans="4:5" x14ac:dyDescent="0.3">
      <c r="D2392" s="123"/>
      <c r="E2392" s="15"/>
    </row>
    <row r="2393" spans="4:5" x14ac:dyDescent="0.3">
      <c r="D2393" s="123"/>
      <c r="E2393" s="15"/>
    </row>
    <row r="2394" spans="4:5" x14ac:dyDescent="0.3">
      <c r="D2394" s="123"/>
      <c r="E2394" s="15"/>
    </row>
    <row r="2395" spans="4:5" x14ac:dyDescent="0.3">
      <c r="D2395" s="123"/>
      <c r="E2395" s="15"/>
    </row>
    <row r="2396" spans="4:5" x14ac:dyDescent="0.3">
      <c r="D2396" s="123"/>
      <c r="E2396" s="15"/>
    </row>
    <row r="2397" spans="4:5" x14ac:dyDescent="0.3">
      <c r="D2397" s="123"/>
      <c r="E2397" s="15"/>
    </row>
    <row r="2398" spans="4:5" x14ac:dyDescent="0.3">
      <c r="D2398" s="123"/>
      <c r="E2398" s="15"/>
    </row>
    <row r="2399" spans="4:5" x14ac:dyDescent="0.3">
      <c r="D2399" s="123"/>
      <c r="E2399" s="15"/>
    </row>
    <row r="2400" spans="4:5" x14ac:dyDescent="0.3">
      <c r="D2400" s="123"/>
      <c r="E2400" s="15"/>
    </row>
    <row r="2401" spans="4:5" x14ac:dyDescent="0.3">
      <c r="D2401" s="123"/>
      <c r="E2401" s="15"/>
    </row>
    <row r="2402" spans="4:5" x14ac:dyDescent="0.3">
      <c r="D2402" s="123"/>
      <c r="E2402" s="15"/>
    </row>
    <row r="2403" spans="4:5" x14ac:dyDescent="0.3">
      <c r="D2403" s="123"/>
      <c r="E2403" s="15"/>
    </row>
    <row r="2404" spans="4:5" x14ac:dyDescent="0.3">
      <c r="D2404" s="123"/>
      <c r="E2404" s="15"/>
    </row>
    <row r="2405" spans="4:5" x14ac:dyDescent="0.3">
      <c r="D2405" s="123"/>
      <c r="E2405" s="15"/>
    </row>
    <row r="2406" spans="4:5" x14ac:dyDescent="0.3">
      <c r="D2406" s="123"/>
      <c r="E2406" s="15"/>
    </row>
    <row r="2407" spans="4:5" x14ac:dyDescent="0.3">
      <c r="D2407" s="123"/>
      <c r="E2407" s="15"/>
    </row>
    <row r="2408" spans="4:5" x14ac:dyDescent="0.3">
      <c r="D2408" s="123"/>
      <c r="E2408" s="15"/>
    </row>
    <row r="2409" spans="4:5" x14ac:dyDescent="0.3">
      <c r="D2409" s="123"/>
      <c r="E2409" s="15"/>
    </row>
    <row r="2410" spans="4:5" x14ac:dyDescent="0.3">
      <c r="D2410" s="123"/>
      <c r="E2410" s="15"/>
    </row>
    <row r="2411" spans="4:5" x14ac:dyDescent="0.3">
      <c r="D2411" s="123"/>
      <c r="E2411" s="15"/>
    </row>
    <row r="2412" spans="4:5" x14ac:dyDescent="0.3">
      <c r="D2412" s="123"/>
      <c r="E2412" s="15"/>
    </row>
    <row r="2413" spans="4:5" x14ac:dyDescent="0.3">
      <c r="D2413" s="123"/>
      <c r="E2413" s="15"/>
    </row>
    <row r="2414" spans="4:5" x14ac:dyDescent="0.3">
      <c r="D2414" s="123"/>
      <c r="E2414" s="15"/>
    </row>
    <row r="2415" spans="4:5" x14ac:dyDescent="0.3">
      <c r="D2415" s="123"/>
      <c r="E2415" s="15"/>
    </row>
    <row r="2416" spans="4:5" x14ac:dyDescent="0.3">
      <c r="D2416" s="123"/>
      <c r="E2416" s="15"/>
    </row>
    <row r="2417" spans="4:5" x14ac:dyDescent="0.3">
      <c r="D2417" s="123"/>
      <c r="E2417" s="15"/>
    </row>
    <row r="2418" spans="4:5" x14ac:dyDescent="0.3">
      <c r="D2418" s="123"/>
      <c r="E2418" s="15"/>
    </row>
    <row r="2419" spans="4:5" x14ac:dyDescent="0.3">
      <c r="D2419" s="123"/>
      <c r="E2419" s="15"/>
    </row>
    <row r="2420" spans="4:5" x14ac:dyDescent="0.3">
      <c r="D2420" s="123"/>
      <c r="E2420" s="15"/>
    </row>
    <row r="2421" spans="4:5" x14ac:dyDescent="0.3">
      <c r="D2421" s="123"/>
      <c r="E2421" s="15"/>
    </row>
    <row r="2422" spans="4:5" x14ac:dyDescent="0.3">
      <c r="D2422" s="123"/>
      <c r="E2422" s="15"/>
    </row>
    <row r="2423" spans="4:5" x14ac:dyDescent="0.3">
      <c r="D2423" s="123"/>
      <c r="E2423" s="15"/>
    </row>
    <row r="2424" spans="4:5" x14ac:dyDescent="0.3">
      <c r="D2424" s="123"/>
      <c r="E2424" s="15"/>
    </row>
    <row r="2425" spans="4:5" x14ac:dyDescent="0.3">
      <c r="D2425" s="123"/>
      <c r="E2425" s="15"/>
    </row>
    <row r="2426" spans="4:5" x14ac:dyDescent="0.3">
      <c r="D2426" s="123"/>
      <c r="E2426" s="15"/>
    </row>
    <row r="2427" spans="4:5" x14ac:dyDescent="0.3">
      <c r="D2427" s="123"/>
      <c r="E2427" s="15"/>
    </row>
    <row r="2428" spans="4:5" x14ac:dyDescent="0.3">
      <c r="D2428" s="123"/>
      <c r="E2428" s="15"/>
    </row>
    <row r="2429" spans="4:5" x14ac:dyDescent="0.3">
      <c r="D2429" s="123"/>
      <c r="E2429" s="15"/>
    </row>
    <row r="2430" spans="4:5" x14ac:dyDescent="0.3">
      <c r="D2430" s="123"/>
      <c r="E2430" s="15"/>
    </row>
    <row r="2431" spans="4:5" x14ac:dyDescent="0.3">
      <c r="D2431" s="123"/>
      <c r="E2431" s="15"/>
    </row>
    <row r="2432" spans="4:5" x14ac:dyDescent="0.3">
      <c r="D2432" s="123"/>
      <c r="E2432" s="15"/>
    </row>
    <row r="2433" spans="4:5" x14ac:dyDescent="0.3">
      <c r="D2433" s="123"/>
      <c r="E2433" s="15"/>
    </row>
    <row r="2434" spans="4:5" x14ac:dyDescent="0.3">
      <c r="D2434" s="123"/>
      <c r="E2434" s="15"/>
    </row>
    <row r="2435" spans="4:5" x14ac:dyDescent="0.3">
      <c r="D2435" s="123"/>
      <c r="E2435" s="15"/>
    </row>
    <row r="2436" spans="4:5" x14ac:dyDescent="0.3">
      <c r="D2436" s="123"/>
      <c r="E2436" s="15"/>
    </row>
    <row r="2437" spans="4:5" x14ac:dyDescent="0.3">
      <c r="D2437" s="123"/>
      <c r="E2437" s="15"/>
    </row>
    <row r="2438" spans="4:5" x14ac:dyDescent="0.3">
      <c r="D2438" s="123"/>
      <c r="E2438" s="15"/>
    </row>
    <row r="2439" spans="4:5" x14ac:dyDescent="0.3">
      <c r="D2439" s="123"/>
      <c r="E2439" s="15"/>
    </row>
    <row r="2440" spans="4:5" x14ac:dyDescent="0.3">
      <c r="D2440" s="123"/>
      <c r="E2440" s="15"/>
    </row>
    <row r="2441" spans="4:5" x14ac:dyDescent="0.3">
      <c r="D2441" s="123"/>
      <c r="E2441" s="15"/>
    </row>
    <row r="2442" spans="4:5" x14ac:dyDescent="0.3">
      <c r="D2442" s="123"/>
      <c r="E2442" s="15"/>
    </row>
    <row r="2443" spans="4:5" x14ac:dyDescent="0.3">
      <c r="D2443" s="123"/>
      <c r="E2443" s="15"/>
    </row>
    <row r="2444" spans="4:5" x14ac:dyDescent="0.3">
      <c r="D2444" s="123"/>
      <c r="E2444" s="15"/>
    </row>
    <row r="2445" spans="4:5" x14ac:dyDescent="0.3">
      <c r="D2445" s="123"/>
      <c r="E2445" s="15"/>
    </row>
    <row r="2446" spans="4:5" x14ac:dyDescent="0.3">
      <c r="D2446" s="123"/>
      <c r="E2446" s="15"/>
    </row>
    <row r="2447" spans="4:5" x14ac:dyDescent="0.3">
      <c r="D2447" s="123"/>
      <c r="E2447" s="15"/>
    </row>
    <row r="2448" spans="4:5" x14ac:dyDescent="0.3">
      <c r="D2448" s="123"/>
      <c r="E2448" s="15"/>
    </row>
    <row r="2449" spans="4:5" x14ac:dyDescent="0.3">
      <c r="D2449" s="123"/>
      <c r="E2449" s="15"/>
    </row>
    <row r="2450" spans="4:5" x14ac:dyDescent="0.3">
      <c r="D2450" s="123"/>
      <c r="E2450" s="15"/>
    </row>
    <row r="2451" spans="4:5" x14ac:dyDescent="0.3">
      <c r="D2451" s="123"/>
      <c r="E2451" s="15"/>
    </row>
    <row r="2452" spans="4:5" x14ac:dyDescent="0.3">
      <c r="D2452" s="123"/>
      <c r="E2452" s="15"/>
    </row>
    <row r="2453" spans="4:5" x14ac:dyDescent="0.3">
      <c r="D2453" s="123"/>
      <c r="E2453" s="15"/>
    </row>
    <row r="2454" spans="4:5" x14ac:dyDescent="0.3">
      <c r="D2454" s="123"/>
      <c r="E2454" s="15"/>
    </row>
    <row r="2455" spans="4:5" x14ac:dyDescent="0.3">
      <c r="D2455" s="123"/>
      <c r="E2455" s="15"/>
    </row>
    <row r="2456" spans="4:5" x14ac:dyDescent="0.3">
      <c r="D2456" s="123"/>
      <c r="E2456" s="15"/>
    </row>
    <row r="2457" spans="4:5" x14ac:dyDescent="0.3">
      <c r="D2457" s="123"/>
      <c r="E2457" s="15"/>
    </row>
    <row r="2458" spans="4:5" x14ac:dyDescent="0.3">
      <c r="D2458" s="123"/>
      <c r="E2458" s="15"/>
    </row>
    <row r="2459" spans="4:5" x14ac:dyDescent="0.3">
      <c r="D2459" s="123"/>
      <c r="E2459" s="15"/>
    </row>
    <row r="2460" spans="4:5" x14ac:dyDescent="0.3">
      <c r="D2460" s="123"/>
      <c r="E2460" s="15"/>
    </row>
    <row r="2461" spans="4:5" x14ac:dyDescent="0.3">
      <c r="D2461" s="123"/>
      <c r="E2461" s="15"/>
    </row>
    <row r="2462" spans="4:5" x14ac:dyDescent="0.3">
      <c r="D2462" s="123"/>
      <c r="E2462" s="15"/>
    </row>
    <row r="2463" spans="4:5" x14ac:dyDescent="0.3">
      <c r="D2463" s="123"/>
      <c r="E2463" s="15"/>
    </row>
    <row r="2464" spans="4:5" x14ac:dyDescent="0.3">
      <c r="D2464" s="123"/>
      <c r="E2464" s="15"/>
    </row>
    <row r="2465" spans="4:5" x14ac:dyDescent="0.3">
      <c r="D2465" s="123"/>
      <c r="E2465" s="15"/>
    </row>
    <row r="2466" spans="4:5" x14ac:dyDescent="0.3">
      <c r="D2466" s="123"/>
      <c r="E2466" s="15"/>
    </row>
    <row r="2467" spans="4:5" x14ac:dyDescent="0.3">
      <c r="D2467" s="123"/>
      <c r="E2467" s="15"/>
    </row>
    <row r="2468" spans="4:5" x14ac:dyDescent="0.3">
      <c r="D2468" s="123"/>
      <c r="E2468" s="15"/>
    </row>
    <row r="2469" spans="4:5" x14ac:dyDescent="0.3">
      <c r="D2469" s="123"/>
      <c r="E2469" s="15"/>
    </row>
    <row r="2470" spans="4:5" x14ac:dyDescent="0.3">
      <c r="D2470" s="123"/>
      <c r="E2470" s="15"/>
    </row>
    <row r="2471" spans="4:5" x14ac:dyDescent="0.3">
      <c r="D2471" s="123"/>
      <c r="E2471" s="15"/>
    </row>
    <row r="2472" spans="4:5" x14ac:dyDescent="0.3">
      <c r="D2472" s="123"/>
      <c r="E2472" s="15"/>
    </row>
    <row r="2473" spans="4:5" x14ac:dyDescent="0.3">
      <c r="D2473" s="123"/>
      <c r="E2473" s="15"/>
    </row>
    <row r="2474" spans="4:5" x14ac:dyDescent="0.3">
      <c r="D2474" s="123"/>
      <c r="E2474" s="15"/>
    </row>
    <row r="2475" spans="4:5" x14ac:dyDescent="0.3">
      <c r="D2475" s="123"/>
      <c r="E2475" s="15"/>
    </row>
    <row r="2476" spans="4:5" x14ac:dyDescent="0.3">
      <c r="D2476" s="123"/>
      <c r="E2476" s="15"/>
    </row>
    <row r="2477" spans="4:5" x14ac:dyDescent="0.3">
      <c r="D2477" s="123"/>
      <c r="E2477" s="15"/>
    </row>
    <row r="2478" spans="4:5" x14ac:dyDescent="0.3">
      <c r="D2478" s="123"/>
      <c r="E2478" s="15"/>
    </row>
    <row r="2479" spans="4:5" x14ac:dyDescent="0.3">
      <c r="D2479" s="123"/>
      <c r="E2479" s="15"/>
    </row>
    <row r="2480" spans="4:5" x14ac:dyDescent="0.3">
      <c r="D2480" s="123"/>
      <c r="E2480" s="15"/>
    </row>
    <row r="2481" spans="4:5" x14ac:dyDescent="0.3">
      <c r="D2481" s="123"/>
      <c r="E2481" s="15"/>
    </row>
    <row r="2482" spans="4:5" x14ac:dyDescent="0.3">
      <c r="D2482" s="123"/>
      <c r="E2482" s="15"/>
    </row>
    <row r="2483" spans="4:5" x14ac:dyDescent="0.3">
      <c r="D2483" s="123"/>
      <c r="E2483" s="15"/>
    </row>
    <row r="2484" spans="4:5" x14ac:dyDescent="0.3">
      <c r="D2484" s="123"/>
      <c r="E2484" s="15"/>
    </row>
    <row r="2485" spans="4:5" x14ac:dyDescent="0.3">
      <c r="D2485" s="123"/>
      <c r="E2485" s="15"/>
    </row>
    <row r="2486" spans="4:5" x14ac:dyDescent="0.3">
      <c r="D2486" s="123"/>
      <c r="E2486" s="15"/>
    </row>
    <row r="2487" spans="4:5" x14ac:dyDescent="0.3">
      <c r="D2487" s="123"/>
      <c r="E2487" s="15"/>
    </row>
    <row r="2488" spans="4:5" x14ac:dyDescent="0.3">
      <c r="D2488" s="123"/>
      <c r="E2488" s="15"/>
    </row>
    <row r="2489" spans="4:5" x14ac:dyDescent="0.3">
      <c r="D2489" s="123"/>
      <c r="E2489" s="15"/>
    </row>
    <row r="2490" spans="4:5" x14ac:dyDescent="0.3">
      <c r="D2490" s="123"/>
      <c r="E2490" s="15"/>
    </row>
    <row r="2491" spans="4:5" x14ac:dyDescent="0.3">
      <c r="D2491" s="123"/>
      <c r="E2491" s="15"/>
    </row>
    <row r="2492" spans="4:5" x14ac:dyDescent="0.3">
      <c r="D2492" s="123"/>
      <c r="E2492" s="15"/>
    </row>
    <row r="2493" spans="4:5" x14ac:dyDescent="0.3">
      <c r="D2493" s="123"/>
      <c r="E2493" s="15"/>
    </row>
    <row r="2494" spans="4:5" x14ac:dyDescent="0.3">
      <c r="D2494" s="123"/>
      <c r="E2494" s="15"/>
    </row>
    <row r="2495" spans="4:5" x14ac:dyDescent="0.3">
      <c r="D2495" s="123"/>
      <c r="E2495" s="15"/>
    </row>
    <row r="2496" spans="4:5" x14ac:dyDescent="0.3">
      <c r="D2496" s="123"/>
      <c r="E2496" s="15"/>
    </row>
    <row r="2497" spans="4:5" x14ac:dyDescent="0.3">
      <c r="D2497" s="123"/>
      <c r="E2497" s="15"/>
    </row>
    <row r="2498" spans="4:5" x14ac:dyDescent="0.3">
      <c r="D2498" s="123"/>
      <c r="E2498" s="15"/>
    </row>
    <row r="2499" spans="4:5" x14ac:dyDescent="0.3">
      <c r="D2499" s="123"/>
      <c r="E2499" s="15"/>
    </row>
    <row r="2500" spans="4:5" x14ac:dyDescent="0.3">
      <c r="D2500" s="123"/>
      <c r="E2500" s="15"/>
    </row>
    <row r="2501" spans="4:5" x14ac:dyDescent="0.3">
      <c r="D2501" s="123"/>
      <c r="E2501" s="15"/>
    </row>
    <row r="2502" spans="4:5" x14ac:dyDescent="0.3">
      <c r="D2502" s="123"/>
      <c r="E2502" s="15"/>
    </row>
    <row r="2503" spans="4:5" x14ac:dyDescent="0.3">
      <c r="D2503" s="123"/>
      <c r="E2503" s="15"/>
    </row>
    <row r="2504" spans="4:5" x14ac:dyDescent="0.3">
      <c r="D2504" s="123"/>
      <c r="E2504" s="15"/>
    </row>
    <row r="2505" spans="4:5" x14ac:dyDescent="0.3">
      <c r="D2505" s="123"/>
      <c r="E2505" s="15"/>
    </row>
    <row r="2506" spans="4:5" x14ac:dyDescent="0.3">
      <c r="D2506" s="123"/>
      <c r="E2506" s="15"/>
    </row>
    <row r="2507" spans="4:5" x14ac:dyDescent="0.3">
      <c r="D2507" s="123"/>
      <c r="E2507" s="15"/>
    </row>
    <row r="2508" spans="4:5" x14ac:dyDescent="0.3">
      <c r="D2508" s="123"/>
      <c r="E2508" s="15"/>
    </row>
    <row r="2509" spans="4:5" x14ac:dyDescent="0.3">
      <c r="D2509" s="123"/>
      <c r="E2509" s="15"/>
    </row>
    <row r="2510" spans="4:5" x14ac:dyDescent="0.3">
      <c r="D2510" s="123"/>
      <c r="E2510" s="15"/>
    </row>
    <row r="2511" spans="4:5" x14ac:dyDescent="0.3">
      <c r="D2511" s="123"/>
      <c r="E2511" s="15"/>
    </row>
    <row r="2512" spans="4:5" x14ac:dyDescent="0.3">
      <c r="D2512" s="123"/>
      <c r="E2512" s="15"/>
    </row>
    <row r="2513" spans="4:5" x14ac:dyDescent="0.3">
      <c r="D2513" s="123"/>
      <c r="E2513" s="15"/>
    </row>
    <row r="2514" spans="4:5" x14ac:dyDescent="0.3">
      <c r="D2514" s="123"/>
      <c r="E2514" s="15"/>
    </row>
    <row r="2515" spans="4:5" x14ac:dyDescent="0.3">
      <c r="D2515" s="123"/>
      <c r="E2515" s="15"/>
    </row>
    <row r="2516" spans="4:5" x14ac:dyDescent="0.3">
      <c r="D2516" s="123"/>
      <c r="E2516" s="15"/>
    </row>
    <row r="2517" spans="4:5" x14ac:dyDescent="0.3">
      <c r="D2517" s="123"/>
      <c r="E2517" s="15"/>
    </row>
    <row r="2518" spans="4:5" x14ac:dyDescent="0.3">
      <c r="D2518" s="123"/>
      <c r="E2518" s="15"/>
    </row>
    <row r="2519" spans="4:5" x14ac:dyDescent="0.3">
      <c r="D2519" s="123"/>
      <c r="E2519" s="15"/>
    </row>
    <row r="2520" spans="4:5" x14ac:dyDescent="0.3">
      <c r="D2520" s="123"/>
      <c r="E2520" s="15"/>
    </row>
    <row r="2521" spans="4:5" x14ac:dyDescent="0.3">
      <c r="D2521" s="123"/>
      <c r="E2521" s="15"/>
    </row>
    <row r="2522" spans="4:5" x14ac:dyDescent="0.3">
      <c r="D2522" s="123"/>
      <c r="E2522" s="15"/>
    </row>
    <row r="2523" spans="4:5" x14ac:dyDescent="0.3">
      <c r="D2523" s="123"/>
      <c r="E2523" s="15"/>
    </row>
    <row r="2524" spans="4:5" x14ac:dyDescent="0.3">
      <c r="D2524" s="123"/>
      <c r="E2524" s="15"/>
    </row>
    <row r="2525" spans="4:5" x14ac:dyDescent="0.3">
      <c r="D2525" s="123"/>
      <c r="E2525" s="15"/>
    </row>
    <row r="2526" spans="4:5" x14ac:dyDescent="0.3">
      <c r="D2526" s="123"/>
      <c r="E2526" s="15"/>
    </row>
    <row r="2527" spans="4:5" x14ac:dyDescent="0.3">
      <c r="D2527" s="123"/>
      <c r="E2527" s="15"/>
    </row>
    <row r="2528" spans="4:5" x14ac:dyDescent="0.3">
      <c r="D2528" s="123"/>
      <c r="E2528" s="15"/>
    </row>
    <row r="2529" spans="4:5" x14ac:dyDescent="0.3">
      <c r="D2529" s="123"/>
      <c r="E2529" s="15"/>
    </row>
    <row r="2530" spans="4:5" x14ac:dyDescent="0.3">
      <c r="D2530" s="123"/>
      <c r="E2530" s="15"/>
    </row>
    <row r="2531" spans="4:5" x14ac:dyDescent="0.3">
      <c r="D2531" s="123"/>
      <c r="E2531" s="15"/>
    </row>
    <row r="2532" spans="4:5" x14ac:dyDescent="0.3">
      <c r="D2532" s="123"/>
      <c r="E2532" s="15"/>
    </row>
    <row r="2533" spans="4:5" x14ac:dyDescent="0.3">
      <c r="D2533" s="123"/>
      <c r="E2533" s="15"/>
    </row>
    <row r="2534" spans="4:5" x14ac:dyDescent="0.3">
      <c r="D2534" s="123"/>
      <c r="E2534" s="15"/>
    </row>
    <row r="2535" spans="4:5" x14ac:dyDescent="0.3">
      <c r="D2535" s="123"/>
      <c r="E2535" s="15"/>
    </row>
    <row r="2536" spans="4:5" x14ac:dyDescent="0.3">
      <c r="D2536" s="123"/>
      <c r="E2536" s="15"/>
    </row>
    <row r="2537" spans="4:5" x14ac:dyDescent="0.3">
      <c r="D2537" s="123"/>
      <c r="E2537" s="15"/>
    </row>
    <row r="2538" spans="4:5" x14ac:dyDescent="0.3">
      <c r="D2538" s="123"/>
      <c r="E2538" s="15"/>
    </row>
    <row r="2539" spans="4:5" x14ac:dyDescent="0.3">
      <c r="D2539" s="123"/>
      <c r="E2539" s="15"/>
    </row>
    <row r="2540" spans="4:5" x14ac:dyDescent="0.3">
      <c r="D2540" s="123"/>
      <c r="E2540" s="15"/>
    </row>
    <row r="2541" spans="4:5" x14ac:dyDescent="0.3">
      <c r="D2541" s="123"/>
      <c r="E2541" s="15"/>
    </row>
    <row r="2542" spans="4:5" x14ac:dyDescent="0.3">
      <c r="D2542" s="123"/>
      <c r="E2542" s="15"/>
    </row>
    <row r="2543" spans="4:5" x14ac:dyDescent="0.3">
      <c r="D2543" s="123"/>
      <c r="E2543" s="15"/>
    </row>
    <row r="2544" spans="4:5" x14ac:dyDescent="0.3">
      <c r="D2544" s="123"/>
      <c r="E2544" s="15"/>
    </row>
    <row r="2545" spans="4:5" x14ac:dyDescent="0.3">
      <c r="D2545" s="123"/>
      <c r="E2545" s="15"/>
    </row>
    <row r="2546" spans="4:5" x14ac:dyDescent="0.3">
      <c r="D2546" s="123"/>
      <c r="E2546" s="15"/>
    </row>
    <row r="2547" spans="4:5" x14ac:dyDescent="0.3">
      <c r="D2547" s="123"/>
      <c r="E2547" s="15"/>
    </row>
    <row r="2548" spans="4:5" x14ac:dyDescent="0.3">
      <c r="D2548" s="123"/>
      <c r="E2548" s="15"/>
    </row>
    <row r="2549" spans="4:5" x14ac:dyDescent="0.3">
      <c r="D2549" s="123"/>
      <c r="E2549" s="15"/>
    </row>
    <row r="2550" spans="4:5" x14ac:dyDescent="0.3">
      <c r="D2550" s="123"/>
      <c r="E2550" s="15"/>
    </row>
    <row r="2551" spans="4:5" x14ac:dyDescent="0.3">
      <c r="D2551" s="123"/>
      <c r="E2551" s="15"/>
    </row>
    <row r="2552" spans="4:5" x14ac:dyDescent="0.3">
      <c r="D2552" s="123"/>
      <c r="E2552" s="15"/>
    </row>
    <row r="2553" spans="4:5" x14ac:dyDescent="0.3">
      <c r="D2553" s="123"/>
      <c r="E2553" s="15"/>
    </row>
    <row r="2554" spans="4:5" x14ac:dyDescent="0.3">
      <c r="D2554" s="123"/>
      <c r="E2554" s="15"/>
    </row>
    <row r="2555" spans="4:5" x14ac:dyDescent="0.3">
      <c r="D2555" s="123"/>
      <c r="E2555" s="15"/>
    </row>
    <row r="2556" spans="4:5" x14ac:dyDescent="0.3">
      <c r="D2556" s="123"/>
      <c r="E2556" s="15"/>
    </row>
    <row r="2557" spans="4:5" x14ac:dyDescent="0.3">
      <c r="D2557" s="123"/>
      <c r="E2557" s="15"/>
    </row>
    <row r="2558" spans="4:5" x14ac:dyDescent="0.3">
      <c r="D2558" s="123"/>
      <c r="E2558" s="15"/>
    </row>
    <row r="2559" spans="4:5" x14ac:dyDescent="0.3">
      <c r="D2559" s="123"/>
      <c r="E2559" s="15"/>
    </row>
    <row r="2560" spans="4:5" x14ac:dyDescent="0.3">
      <c r="D2560" s="123"/>
      <c r="E2560" s="15"/>
    </row>
    <row r="2561" spans="4:5" x14ac:dyDescent="0.3">
      <c r="D2561" s="123"/>
      <c r="E2561" s="15"/>
    </row>
    <row r="2562" spans="4:5" x14ac:dyDescent="0.3">
      <c r="D2562" s="123"/>
      <c r="E2562" s="15"/>
    </row>
    <row r="2563" spans="4:5" x14ac:dyDescent="0.3">
      <c r="D2563" s="123"/>
      <c r="E2563" s="15"/>
    </row>
    <row r="2564" spans="4:5" x14ac:dyDescent="0.3">
      <c r="D2564" s="123"/>
      <c r="E2564" s="15"/>
    </row>
    <row r="2565" spans="4:5" x14ac:dyDescent="0.3">
      <c r="D2565" s="123"/>
      <c r="E2565" s="15"/>
    </row>
    <row r="2566" spans="4:5" x14ac:dyDescent="0.3">
      <c r="D2566" s="123"/>
      <c r="E2566" s="15"/>
    </row>
    <row r="2567" spans="4:5" x14ac:dyDescent="0.3">
      <c r="D2567" s="123"/>
      <c r="E2567" s="15"/>
    </row>
    <row r="2568" spans="4:5" x14ac:dyDescent="0.3">
      <c r="D2568" s="123"/>
      <c r="E2568" s="15"/>
    </row>
    <row r="2569" spans="4:5" x14ac:dyDescent="0.3">
      <c r="D2569" s="123"/>
      <c r="E2569" s="15"/>
    </row>
    <row r="2570" spans="4:5" x14ac:dyDescent="0.3">
      <c r="D2570" s="123"/>
      <c r="E2570" s="15"/>
    </row>
    <row r="2571" spans="4:5" x14ac:dyDescent="0.3">
      <c r="D2571" s="123"/>
      <c r="E2571" s="15"/>
    </row>
    <row r="2572" spans="4:5" x14ac:dyDescent="0.3">
      <c r="D2572" s="123"/>
      <c r="E2572" s="15"/>
    </row>
    <row r="2573" spans="4:5" x14ac:dyDescent="0.3">
      <c r="D2573" s="123"/>
      <c r="E2573" s="15"/>
    </row>
    <row r="2574" spans="4:5" x14ac:dyDescent="0.3">
      <c r="D2574" s="123"/>
      <c r="E2574" s="15"/>
    </row>
    <row r="2575" spans="4:5" x14ac:dyDescent="0.3">
      <c r="D2575" s="123"/>
      <c r="E2575" s="15"/>
    </row>
    <row r="2576" spans="4:5" x14ac:dyDescent="0.3">
      <c r="D2576" s="123"/>
      <c r="E2576" s="15"/>
    </row>
    <row r="2577" spans="4:5" x14ac:dyDescent="0.3">
      <c r="D2577" s="123"/>
      <c r="E2577" s="15"/>
    </row>
    <row r="2578" spans="4:5" x14ac:dyDescent="0.3">
      <c r="D2578" s="123"/>
      <c r="E2578" s="15"/>
    </row>
    <row r="2579" spans="4:5" x14ac:dyDescent="0.3">
      <c r="D2579" s="123"/>
      <c r="E2579" s="15"/>
    </row>
    <row r="2580" spans="4:5" x14ac:dyDescent="0.3">
      <c r="D2580" s="123"/>
      <c r="E2580" s="15"/>
    </row>
    <row r="2581" spans="4:5" x14ac:dyDescent="0.3">
      <c r="D2581" s="123"/>
      <c r="E2581" s="15"/>
    </row>
    <row r="2582" spans="4:5" x14ac:dyDescent="0.3">
      <c r="D2582" s="123"/>
      <c r="E2582" s="15"/>
    </row>
    <row r="2583" spans="4:5" x14ac:dyDescent="0.3">
      <c r="D2583" s="123"/>
      <c r="E2583" s="15"/>
    </row>
    <row r="2584" spans="4:5" x14ac:dyDescent="0.3">
      <c r="D2584" s="123"/>
      <c r="E2584" s="15"/>
    </row>
    <row r="2585" spans="4:5" x14ac:dyDescent="0.3">
      <c r="D2585" s="123"/>
      <c r="E2585" s="15"/>
    </row>
    <row r="2586" spans="4:5" x14ac:dyDescent="0.3">
      <c r="D2586" s="123"/>
      <c r="E2586" s="15"/>
    </row>
    <row r="2587" spans="4:5" x14ac:dyDescent="0.3">
      <c r="D2587" s="123"/>
      <c r="E2587" s="15"/>
    </row>
    <row r="2588" spans="4:5" x14ac:dyDescent="0.3">
      <c r="D2588" s="123"/>
      <c r="E2588" s="15"/>
    </row>
    <row r="2589" spans="4:5" x14ac:dyDescent="0.3">
      <c r="D2589" s="123"/>
      <c r="E2589" s="15"/>
    </row>
    <row r="2590" spans="4:5" x14ac:dyDescent="0.3">
      <c r="D2590" s="123"/>
      <c r="E2590" s="15"/>
    </row>
    <row r="2591" spans="4:5" x14ac:dyDescent="0.3">
      <c r="D2591" s="123"/>
      <c r="E2591" s="15"/>
    </row>
    <row r="2592" spans="4:5" x14ac:dyDescent="0.3">
      <c r="D2592" s="123"/>
      <c r="E2592" s="15"/>
    </row>
    <row r="2593" spans="4:5" x14ac:dyDescent="0.3">
      <c r="D2593" s="123"/>
      <c r="E2593" s="15"/>
    </row>
    <row r="2594" spans="4:5" x14ac:dyDescent="0.3">
      <c r="D2594" s="123"/>
      <c r="E2594" s="15"/>
    </row>
    <row r="2595" spans="4:5" x14ac:dyDescent="0.3">
      <c r="D2595" s="123"/>
      <c r="E2595" s="15"/>
    </row>
    <row r="2596" spans="4:5" x14ac:dyDescent="0.3">
      <c r="D2596" s="123"/>
      <c r="E2596" s="15"/>
    </row>
    <row r="2597" spans="4:5" x14ac:dyDescent="0.3">
      <c r="D2597" s="123"/>
      <c r="E2597" s="15"/>
    </row>
    <row r="2598" spans="4:5" x14ac:dyDescent="0.3">
      <c r="D2598" s="123"/>
      <c r="E2598" s="15"/>
    </row>
    <row r="2599" spans="4:5" x14ac:dyDescent="0.3">
      <c r="D2599" s="123"/>
      <c r="E2599" s="15"/>
    </row>
    <row r="2600" spans="4:5" x14ac:dyDescent="0.3">
      <c r="D2600" s="123"/>
      <c r="E2600" s="15"/>
    </row>
    <row r="2601" spans="4:5" x14ac:dyDescent="0.3">
      <c r="D2601" s="123"/>
      <c r="E2601" s="15"/>
    </row>
    <row r="2602" spans="4:5" x14ac:dyDescent="0.3">
      <c r="D2602" s="123"/>
      <c r="E2602" s="15"/>
    </row>
    <row r="2603" spans="4:5" x14ac:dyDescent="0.3">
      <c r="D2603" s="123"/>
      <c r="E2603" s="15"/>
    </row>
    <row r="2604" spans="4:5" x14ac:dyDescent="0.3">
      <c r="D2604" s="123"/>
      <c r="E2604" s="15"/>
    </row>
    <row r="2605" spans="4:5" x14ac:dyDescent="0.3">
      <c r="D2605" s="123"/>
      <c r="E2605" s="15"/>
    </row>
    <row r="2606" spans="4:5" x14ac:dyDescent="0.3">
      <c r="D2606" s="123"/>
      <c r="E2606" s="15"/>
    </row>
    <row r="2607" spans="4:5" x14ac:dyDescent="0.3">
      <c r="D2607" s="123"/>
      <c r="E2607" s="15"/>
    </row>
    <row r="2608" spans="4:5" x14ac:dyDescent="0.3">
      <c r="D2608" s="123"/>
      <c r="E2608" s="15"/>
    </row>
    <row r="2609" spans="4:5" x14ac:dyDescent="0.3">
      <c r="D2609" s="123"/>
      <c r="E2609" s="15"/>
    </row>
    <row r="2610" spans="4:5" x14ac:dyDescent="0.3">
      <c r="D2610" s="123"/>
      <c r="E2610" s="15"/>
    </row>
    <row r="2611" spans="4:5" x14ac:dyDescent="0.3">
      <c r="D2611" s="123"/>
      <c r="E2611" s="15"/>
    </row>
    <row r="2612" spans="4:5" x14ac:dyDescent="0.3">
      <c r="D2612" s="123"/>
      <c r="E2612" s="15"/>
    </row>
    <row r="2613" spans="4:5" x14ac:dyDescent="0.3">
      <c r="D2613" s="123"/>
      <c r="E2613" s="15"/>
    </row>
    <row r="2614" spans="4:5" x14ac:dyDescent="0.3">
      <c r="D2614" s="123"/>
      <c r="E2614" s="15"/>
    </row>
    <row r="2615" spans="4:5" x14ac:dyDescent="0.3">
      <c r="D2615" s="123"/>
      <c r="E2615" s="15"/>
    </row>
    <row r="2616" spans="4:5" x14ac:dyDescent="0.3">
      <c r="D2616" s="123"/>
      <c r="E2616" s="15"/>
    </row>
    <row r="2617" spans="4:5" x14ac:dyDescent="0.3">
      <c r="D2617" s="123"/>
      <c r="E2617" s="15"/>
    </row>
    <row r="2618" spans="4:5" x14ac:dyDescent="0.3">
      <c r="D2618" s="123"/>
      <c r="E2618" s="15"/>
    </row>
    <row r="2619" spans="4:5" x14ac:dyDescent="0.3">
      <c r="D2619" s="123"/>
      <c r="E2619" s="15"/>
    </row>
    <row r="2620" spans="4:5" x14ac:dyDescent="0.3">
      <c r="D2620" s="123"/>
      <c r="E2620" s="15"/>
    </row>
    <row r="2621" spans="4:5" x14ac:dyDescent="0.3">
      <c r="D2621" s="123"/>
      <c r="E2621" s="15"/>
    </row>
    <row r="2622" spans="4:5" x14ac:dyDescent="0.3">
      <c r="D2622" s="123"/>
      <c r="E2622" s="15"/>
    </row>
    <row r="2623" spans="4:5" x14ac:dyDescent="0.3">
      <c r="D2623" s="123"/>
      <c r="E2623" s="15"/>
    </row>
    <row r="2624" spans="4:5" x14ac:dyDescent="0.3">
      <c r="D2624" s="123"/>
      <c r="E2624" s="15"/>
    </row>
    <row r="2625" spans="4:5" x14ac:dyDescent="0.3">
      <c r="D2625" s="123"/>
      <c r="E2625" s="15"/>
    </row>
    <row r="2626" spans="4:5" x14ac:dyDescent="0.3">
      <c r="D2626" s="123"/>
      <c r="E2626" s="15"/>
    </row>
    <row r="2627" spans="4:5" x14ac:dyDescent="0.3">
      <c r="D2627" s="123"/>
      <c r="E2627" s="15"/>
    </row>
    <row r="2628" spans="4:5" x14ac:dyDescent="0.3">
      <c r="D2628" s="123"/>
      <c r="E2628" s="15"/>
    </row>
    <row r="2629" spans="4:5" x14ac:dyDescent="0.3">
      <c r="D2629" s="123"/>
      <c r="E2629" s="15"/>
    </row>
    <row r="2630" spans="4:5" x14ac:dyDescent="0.3">
      <c r="D2630" s="123"/>
      <c r="E2630" s="15"/>
    </row>
    <row r="2631" spans="4:5" x14ac:dyDescent="0.3">
      <c r="D2631" s="123"/>
      <c r="E2631" s="15"/>
    </row>
    <row r="2632" spans="4:5" x14ac:dyDescent="0.3">
      <c r="D2632" s="123"/>
      <c r="E2632" s="15"/>
    </row>
    <row r="2633" spans="4:5" x14ac:dyDescent="0.3">
      <c r="D2633" s="123"/>
      <c r="E2633" s="15"/>
    </row>
    <row r="2634" spans="4:5" x14ac:dyDescent="0.3">
      <c r="D2634" s="123"/>
      <c r="E2634" s="15"/>
    </row>
    <row r="2635" spans="4:5" x14ac:dyDescent="0.3">
      <c r="D2635" s="123"/>
      <c r="E2635" s="15"/>
    </row>
    <row r="2636" spans="4:5" x14ac:dyDescent="0.3">
      <c r="D2636" s="123"/>
      <c r="E2636" s="15"/>
    </row>
    <row r="2637" spans="4:5" x14ac:dyDescent="0.3">
      <c r="D2637" s="123"/>
      <c r="E2637" s="15"/>
    </row>
    <row r="2638" spans="4:5" x14ac:dyDescent="0.3">
      <c r="D2638" s="123"/>
      <c r="E2638" s="15"/>
    </row>
    <row r="2639" spans="4:5" x14ac:dyDescent="0.3">
      <c r="D2639" s="123"/>
      <c r="E2639" s="15"/>
    </row>
    <row r="2640" spans="4:5" x14ac:dyDescent="0.3">
      <c r="D2640" s="123"/>
      <c r="E2640" s="15"/>
    </row>
    <row r="2641" spans="4:5" x14ac:dyDescent="0.3">
      <c r="D2641" s="123"/>
      <c r="E2641" s="15"/>
    </row>
    <row r="2642" spans="4:5" x14ac:dyDescent="0.3">
      <c r="D2642" s="123"/>
      <c r="E2642" s="15"/>
    </row>
    <row r="2643" spans="4:5" x14ac:dyDescent="0.3">
      <c r="D2643" s="123"/>
      <c r="E2643" s="15"/>
    </row>
    <row r="2644" spans="4:5" x14ac:dyDescent="0.3">
      <c r="D2644" s="123"/>
      <c r="E2644" s="15"/>
    </row>
    <row r="2645" spans="4:5" x14ac:dyDescent="0.3">
      <c r="D2645" s="123"/>
      <c r="E2645" s="15"/>
    </row>
    <row r="2646" spans="4:5" x14ac:dyDescent="0.3">
      <c r="D2646" s="123"/>
      <c r="E2646" s="15"/>
    </row>
    <row r="2647" spans="4:5" x14ac:dyDescent="0.3">
      <c r="D2647" s="123"/>
      <c r="E2647" s="15"/>
    </row>
    <row r="2648" spans="4:5" x14ac:dyDescent="0.3">
      <c r="D2648" s="123"/>
      <c r="E2648" s="15"/>
    </row>
    <row r="2649" spans="4:5" x14ac:dyDescent="0.3">
      <c r="D2649" s="123"/>
      <c r="E2649" s="15"/>
    </row>
    <row r="2650" spans="4:5" x14ac:dyDescent="0.3">
      <c r="D2650" s="123"/>
      <c r="E2650" s="15"/>
    </row>
    <row r="2651" spans="4:5" x14ac:dyDescent="0.3">
      <c r="D2651" s="123"/>
      <c r="E2651" s="15"/>
    </row>
    <row r="2652" spans="4:5" x14ac:dyDescent="0.3">
      <c r="D2652" s="123"/>
      <c r="E2652" s="15"/>
    </row>
    <row r="2653" spans="4:5" x14ac:dyDescent="0.3">
      <c r="D2653" s="123"/>
      <c r="E2653" s="15"/>
    </row>
    <row r="2654" spans="4:5" x14ac:dyDescent="0.3">
      <c r="D2654" s="123"/>
      <c r="E2654" s="15"/>
    </row>
    <row r="2655" spans="4:5" x14ac:dyDescent="0.3">
      <c r="D2655" s="123"/>
      <c r="E2655" s="15"/>
    </row>
    <row r="2656" spans="4:5" x14ac:dyDescent="0.3">
      <c r="D2656" s="123"/>
      <c r="E2656" s="15"/>
    </row>
    <row r="2657" spans="4:5" x14ac:dyDescent="0.3">
      <c r="D2657" s="123"/>
      <c r="E2657" s="15"/>
    </row>
    <row r="2658" spans="4:5" x14ac:dyDescent="0.3">
      <c r="D2658" s="123"/>
      <c r="E2658" s="15"/>
    </row>
    <row r="2659" spans="4:5" x14ac:dyDescent="0.3">
      <c r="D2659" s="123"/>
      <c r="E2659" s="15"/>
    </row>
    <row r="2660" spans="4:5" x14ac:dyDescent="0.3">
      <c r="D2660" s="123"/>
      <c r="E2660" s="15"/>
    </row>
    <row r="2661" spans="4:5" x14ac:dyDescent="0.3">
      <c r="D2661" s="123"/>
      <c r="E2661" s="15"/>
    </row>
    <row r="2662" spans="4:5" x14ac:dyDescent="0.3">
      <c r="D2662" s="123"/>
      <c r="E2662" s="15"/>
    </row>
    <row r="2663" spans="4:5" x14ac:dyDescent="0.3">
      <c r="D2663" s="123"/>
      <c r="E2663" s="15"/>
    </row>
    <row r="2664" spans="4:5" x14ac:dyDescent="0.3">
      <c r="D2664" s="123"/>
      <c r="E2664" s="15"/>
    </row>
    <row r="2665" spans="4:5" x14ac:dyDescent="0.3">
      <c r="D2665" s="123"/>
      <c r="E2665" s="15"/>
    </row>
    <row r="2666" spans="4:5" x14ac:dyDescent="0.3">
      <c r="D2666" s="123"/>
      <c r="E2666" s="15"/>
    </row>
    <row r="2667" spans="4:5" x14ac:dyDescent="0.3">
      <c r="D2667" s="123"/>
      <c r="E2667" s="15"/>
    </row>
    <row r="2668" spans="4:5" x14ac:dyDescent="0.3">
      <c r="D2668" s="123"/>
      <c r="E2668" s="15"/>
    </row>
    <row r="2669" spans="4:5" x14ac:dyDescent="0.3">
      <c r="D2669" s="123"/>
      <c r="E2669" s="15"/>
    </row>
    <row r="2670" spans="4:5" x14ac:dyDescent="0.3">
      <c r="D2670" s="123"/>
      <c r="E2670" s="15"/>
    </row>
    <row r="2671" spans="4:5" x14ac:dyDescent="0.3">
      <c r="D2671" s="123"/>
      <c r="E2671" s="15"/>
    </row>
    <row r="2672" spans="4:5" x14ac:dyDescent="0.3">
      <c r="D2672" s="123"/>
      <c r="E2672" s="15"/>
    </row>
    <row r="2673" spans="4:5" x14ac:dyDescent="0.3">
      <c r="D2673" s="123"/>
      <c r="E2673" s="15"/>
    </row>
    <row r="2674" spans="4:5" x14ac:dyDescent="0.3">
      <c r="D2674" s="123"/>
      <c r="E2674" s="15"/>
    </row>
    <row r="2675" spans="4:5" x14ac:dyDescent="0.3">
      <c r="D2675" s="123"/>
      <c r="E2675" s="15"/>
    </row>
    <row r="2676" spans="4:5" x14ac:dyDescent="0.3">
      <c r="D2676" s="123"/>
      <c r="E2676" s="15"/>
    </row>
    <row r="2677" spans="4:5" x14ac:dyDescent="0.3">
      <c r="D2677" s="123"/>
      <c r="E2677" s="15"/>
    </row>
    <row r="2678" spans="4:5" x14ac:dyDescent="0.3">
      <c r="D2678" s="123"/>
      <c r="E2678" s="15"/>
    </row>
    <row r="2679" spans="4:5" x14ac:dyDescent="0.3">
      <c r="D2679" s="123"/>
      <c r="E2679" s="15"/>
    </row>
    <row r="2680" spans="4:5" x14ac:dyDescent="0.3">
      <c r="D2680" s="123"/>
      <c r="E2680" s="15"/>
    </row>
    <row r="2681" spans="4:5" x14ac:dyDescent="0.3">
      <c r="D2681" s="123"/>
      <c r="E2681" s="15"/>
    </row>
    <row r="2682" spans="4:5" x14ac:dyDescent="0.3">
      <c r="D2682" s="123"/>
      <c r="E2682" s="15"/>
    </row>
    <row r="2683" spans="4:5" x14ac:dyDescent="0.3">
      <c r="D2683" s="123"/>
      <c r="E2683" s="15"/>
    </row>
    <row r="2684" spans="4:5" x14ac:dyDescent="0.3">
      <c r="D2684" s="123"/>
      <c r="E2684" s="15"/>
    </row>
    <row r="2685" spans="4:5" x14ac:dyDescent="0.3">
      <c r="D2685" s="123"/>
      <c r="E2685" s="15"/>
    </row>
    <row r="2686" spans="4:5" x14ac:dyDescent="0.3">
      <c r="D2686" s="123"/>
      <c r="E2686" s="15"/>
    </row>
    <row r="2687" spans="4:5" x14ac:dyDescent="0.3">
      <c r="D2687" s="123"/>
      <c r="E2687" s="15"/>
    </row>
    <row r="2688" spans="4:5" x14ac:dyDescent="0.3">
      <c r="D2688" s="123"/>
      <c r="E2688" s="15"/>
    </row>
    <row r="2689" spans="4:5" x14ac:dyDescent="0.3">
      <c r="D2689" s="123"/>
      <c r="E2689" s="15"/>
    </row>
    <row r="2690" spans="4:5" x14ac:dyDescent="0.3">
      <c r="D2690" s="123"/>
      <c r="E2690" s="15"/>
    </row>
    <row r="2691" spans="4:5" x14ac:dyDescent="0.3">
      <c r="D2691" s="123"/>
      <c r="E2691" s="15"/>
    </row>
    <row r="2692" spans="4:5" x14ac:dyDescent="0.3">
      <c r="D2692" s="123"/>
      <c r="E2692" s="15"/>
    </row>
    <row r="2693" spans="4:5" x14ac:dyDescent="0.3">
      <c r="D2693" s="123"/>
      <c r="E2693" s="15"/>
    </row>
    <row r="2694" spans="4:5" x14ac:dyDescent="0.3">
      <c r="D2694" s="123"/>
      <c r="E2694" s="15"/>
    </row>
    <row r="2695" spans="4:5" x14ac:dyDescent="0.3">
      <c r="D2695" s="123"/>
      <c r="E2695" s="15"/>
    </row>
    <row r="2696" spans="4:5" x14ac:dyDescent="0.3">
      <c r="D2696" s="123"/>
      <c r="E2696" s="15"/>
    </row>
    <row r="2697" spans="4:5" x14ac:dyDescent="0.3">
      <c r="D2697" s="123"/>
      <c r="E2697" s="15"/>
    </row>
    <row r="2698" spans="4:5" x14ac:dyDescent="0.3">
      <c r="D2698" s="123"/>
      <c r="E2698" s="15"/>
    </row>
    <row r="2699" spans="4:5" x14ac:dyDescent="0.3">
      <c r="D2699" s="123"/>
      <c r="E2699" s="15"/>
    </row>
    <row r="2700" spans="4:5" x14ac:dyDescent="0.3">
      <c r="D2700" s="123"/>
      <c r="E2700" s="15"/>
    </row>
    <row r="2701" spans="4:5" x14ac:dyDescent="0.3">
      <c r="D2701" s="123"/>
      <c r="E2701" s="15"/>
    </row>
    <row r="2702" spans="4:5" x14ac:dyDescent="0.3">
      <c r="D2702" s="123"/>
      <c r="E2702" s="15"/>
    </row>
    <row r="2703" spans="4:5" x14ac:dyDescent="0.3">
      <c r="D2703" s="123"/>
      <c r="E2703" s="15"/>
    </row>
    <row r="2704" spans="4:5" x14ac:dyDescent="0.3">
      <c r="D2704" s="123"/>
      <c r="E2704" s="15"/>
    </row>
    <row r="2705" spans="4:5" x14ac:dyDescent="0.3">
      <c r="D2705" s="123"/>
      <c r="E2705" s="15"/>
    </row>
    <row r="2706" spans="4:5" x14ac:dyDescent="0.3">
      <c r="D2706" s="123"/>
      <c r="E2706" s="15"/>
    </row>
    <row r="2707" spans="4:5" x14ac:dyDescent="0.3">
      <c r="D2707" s="123"/>
      <c r="E2707" s="15"/>
    </row>
    <row r="2708" spans="4:5" x14ac:dyDescent="0.3">
      <c r="D2708" s="123"/>
      <c r="E2708" s="15"/>
    </row>
    <row r="2709" spans="4:5" x14ac:dyDescent="0.3">
      <c r="D2709" s="123"/>
      <c r="E2709" s="15"/>
    </row>
    <row r="2710" spans="4:5" x14ac:dyDescent="0.3">
      <c r="D2710" s="123"/>
      <c r="E2710" s="15"/>
    </row>
    <row r="2711" spans="4:5" x14ac:dyDescent="0.3">
      <c r="D2711" s="123"/>
      <c r="E2711" s="15"/>
    </row>
    <row r="2712" spans="4:5" x14ac:dyDescent="0.3">
      <c r="D2712" s="123"/>
      <c r="E2712" s="15"/>
    </row>
    <row r="2713" spans="4:5" x14ac:dyDescent="0.3">
      <c r="D2713" s="123"/>
      <c r="E2713" s="15"/>
    </row>
    <row r="2714" spans="4:5" x14ac:dyDescent="0.3">
      <c r="D2714" s="123"/>
      <c r="E2714" s="15"/>
    </row>
    <row r="2715" spans="4:5" x14ac:dyDescent="0.3">
      <c r="D2715" s="123"/>
      <c r="E2715" s="15"/>
    </row>
    <row r="2716" spans="4:5" x14ac:dyDescent="0.3">
      <c r="D2716" s="123"/>
      <c r="E2716" s="15"/>
    </row>
    <row r="2717" spans="4:5" x14ac:dyDescent="0.3">
      <c r="D2717" s="123"/>
      <c r="E2717" s="15"/>
    </row>
    <row r="2718" spans="4:5" x14ac:dyDescent="0.3">
      <c r="D2718" s="123"/>
      <c r="E2718" s="15"/>
    </row>
    <row r="2719" spans="4:5" x14ac:dyDescent="0.3">
      <c r="D2719" s="123"/>
      <c r="E2719" s="15"/>
    </row>
    <row r="2720" spans="4:5" x14ac:dyDescent="0.3">
      <c r="D2720" s="123"/>
      <c r="E2720" s="15"/>
    </row>
    <row r="2721" spans="4:5" x14ac:dyDescent="0.3">
      <c r="D2721" s="123"/>
      <c r="E2721" s="15"/>
    </row>
    <row r="2722" spans="4:5" x14ac:dyDescent="0.3">
      <c r="D2722" s="123"/>
      <c r="E2722" s="15"/>
    </row>
    <row r="2723" spans="4:5" x14ac:dyDescent="0.3">
      <c r="D2723" s="123"/>
      <c r="E2723" s="15"/>
    </row>
    <row r="2724" spans="4:5" x14ac:dyDescent="0.3">
      <c r="D2724" s="123"/>
      <c r="E2724" s="15"/>
    </row>
    <row r="2725" spans="4:5" x14ac:dyDescent="0.3">
      <c r="D2725" s="123"/>
      <c r="E2725" s="15"/>
    </row>
    <row r="2726" spans="4:5" x14ac:dyDescent="0.3">
      <c r="D2726" s="123"/>
      <c r="E2726" s="15"/>
    </row>
    <row r="2727" spans="4:5" x14ac:dyDescent="0.3">
      <c r="D2727" s="123"/>
      <c r="E2727" s="15"/>
    </row>
    <row r="2728" spans="4:5" x14ac:dyDescent="0.3">
      <c r="D2728" s="123"/>
      <c r="E2728" s="15"/>
    </row>
    <row r="2729" spans="4:5" x14ac:dyDescent="0.3">
      <c r="D2729" s="123"/>
      <c r="E2729" s="15"/>
    </row>
    <row r="2730" spans="4:5" x14ac:dyDescent="0.3">
      <c r="D2730" s="123"/>
      <c r="E2730" s="15"/>
    </row>
    <row r="2731" spans="4:5" x14ac:dyDescent="0.3">
      <c r="D2731" s="123"/>
      <c r="E2731" s="15"/>
    </row>
    <row r="2732" spans="4:5" x14ac:dyDescent="0.3">
      <c r="D2732" s="123"/>
      <c r="E2732" s="15"/>
    </row>
    <row r="2733" spans="4:5" x14ac:dyDescent="0.3">
      <c r="D2733" s="123"/>
      <c r="E2733" s="15"/>
    </row>
    <row r="2734" spans="4:5" x14ac:dyDescent="0.3">
      <c r="D2734" s="123"/>
      <c r="E2734" s="15"/>
    </row>
    <row r="2735" spans="4:5" x14ac:dyDescent="0.3">
      <c r="D2735" s="123"/>
      <c r="E2735" s="15"/>
    </row>
    <row r="2736" spans="4:5" x14ac:dyDescent="0.3">
      <c r="D2736" s="123"/>
      <c r="E2736" s="15"/>
    </row>
    <row r="2737" spans="4:5" x14ac:dyDescent="0.3">
      <c r="D2737" s="123"/>
      <c r="E2737" s="15"/>
    </row>
    <row r="2738" spans="4:5" x14ac:dyDescent="0.3">
      <c r="D2738" s="123"/>
      <c r="E2738" s="15"/>
    </row>
    <row r="2739" spans="4:5" x14ac:dyDescent="0.3">
      <c r="D2739" s="123"/>
      <c r="E2739" s="15"/>
    </row>
    <row r="2740" spans="4:5" x14ac:dyDescent="0.3">
      <c r="D2740" s="123"/>
      <c r="E2740" s="15"/>
    </row>
    <row r="2741" spans="4:5" x14ac:dyDescent="0.3">
      <c r="D2741" s="123"/>
      <c r="E2741" s="15"/>
    </row>
    <row r="2742" spans="4:5" x14ac:dyDescent="0.3">
      <c r="D2742" s="123"/>
      <c r="E2742" s="15"/>
    </row>
    <row r="2743" spans="4:5" x14ac:dyDescent="0.3">
      <c r="D2743" s="123"/>
      <c r="E2743" s="15"/>
    </row>
    <row r="2744" spans="4:5" x14ac:dyDescent="0.3">
      <c r="D2744" s="123"/>
      <c r="E2744" s="15"/>
    </row>
    <row r="2745" spans="4:5" x14ac:dyDescent="0.3">
      <c r="D2745" s="123"/>
      <c r="E2745" s="15"/>
    </row>
    <row r="2746" spans="4:5" x14ac:dyDescent="0.3">
      <c r="D2746" s="123"/>
      <c r="E2746" s="15"/>
    </row>
    <row r="2747" spans="4:5" x14ac:dyDescent="0.3">
      <c r="D2747" s="123"/>
      <c r="E2747" s="15"/>
    </row>
    <row r="2748" spans="4:5" x14ac:dyDescent="0.3">
      <c r="D2748" s="123"/>
      <c r="E2748" s="15"/>
    </row>
    <row r="2749" spans="4:5" x14ac:dyDescent="0.3">
      <c r="D2749" s="123"/>
      <c r="E2749" s="15"/>
    </row>
    <row r="2750" spans="4:5" x14ac:dyDescent="0.3">
      <c r="D2750" s="123"/>
      <c r="E2750" s="15"/>
    </row>
    <row r="2751" spans="4:5" x14ac:dyDescent="0.3">
      <c r="D2751" s="123"/>
      <c r="E2751" s="15"/>
    </row>
    <row r="2752" spans="4:5" x14ac:dyDescent="0.3">
      <c r="D2752" s="123"/>
      <c r="E2752" s="15"/>
    </row>
    <row r="2753" spans="4:5" x14ac:dyDescent="0.3">
      <c r="D2753" s="123"/>
      <c r="E2753" s="15"/>
    </row>
    <row r="2754" spans="4:5" x14ac:dyDescent="0.3">
      <c r="D2754" s="123"/>
      <c r="E2754" s="15"/>
    </row>
    <row r="2755" spans="4:5" x14ac:dyDescent="0.3">
      <c r="D2755" s="123"/>
      <c r="E2755" s="15"/>
    </row>
    <row r="2756" spans="4:5" x14ac:dyDescent="0.3">
      <c r="D2756" s="123"/>
      <c r="E2756" s="15"/>
    </row>
    <row r="2757" spans="4:5" x14ac:dyDescent="0.3">
      <c r="D2757" s="123"/>
      <c r="E2757" s="15"/>
    </row>
    <row r="2758" spans="4:5" x14ac:dyDescent="0.3">
      <c r="D2758" s="123"/>
      <c r="E2758" s="15"/>
    </row>
    <row r="2759" spans="4:5" x14ac:dyDescent="0.3">
      <c r="D2759" s="123"/>
      <c r="E2759" s="15"/>
    </row>
    <row r="2760" spans="4:5" x14ac:dyDescent="0.3">
      <c r="D2760" s="123"/>
      <c r="E2760" s="15"/>
    </row>
    <row r="2761" spans="4:5" x14ac:dyDescent="0.3">
      <c r="D2761" s="123"/>
      <c r="E2761" s="15"/>
    </row>
    <row r="2762" spans="4:5" x14ac:dyDescent="0.3">
      <c r="D2762" s="123"/>
      <c r="E2762" s="15"/>
    </row>
    <row r="2763" spans="4:5" x14ac:dyDescent="0.3">
      <c r="D2763" s="123"/>
      <c r="E2763" s="15"/>
    </row>
    <row r="2764" spans="4:5" x14ac:dyDescent="0.3">
      <c r="D2764" s="123"/>
      <c r="E2764" s="15"/>
    </row>
    <row r="2765" spans="4:5" x14ac:dyDescent="0.3">
      <c r="D2765" s="123"/>
      <c r="E2765" s="15"/>
    </row>
    <row r="2766" spans="4:5" x14ac:dyDescent="0.3">
      <c r="D2766" s="123"/>
      <c r="E2766" s="15"/>
    </row>
    <row r="2767" spans="4:5" x14ac:dyDescent="0.3">
      <c r="D2767" s="123"/>
      <c r="E2767" s="15"/>
    </row>
    <row r="2768" spans="4:5" x14ac:dyDescent="0.3">
      <c r="D2768" s="123"/>
      <c r="E2768" s="15"/>
    </row>
    <row r="2769" spans="4:5" x14ac:dyDescent="0.3">
      <c r="D2769" s="123"/>
      <c r="E2769" s="15"/>
    </row>
    <row r="2770" spans="4:5" x14ac:dyDescent="0.3">
      <c r="D2770" s="123"/>
      <c r="E2770" s="15"/>
    </row>
    <row r="2771" spans="4:5" x14ac:dyDescent="0.3">
      <c r="D2771" s="123"/>
      <c r="E2771" s="15"/>
    </row>
    <row r="2772" spans="4:5" x14ac:dyDescent="0.3">
      <c r="D2772" s="123"/>
      <c r="E2772" s="15"/>
    </row>
    <row r="2773" spans="4:5" x14ac:dyDescent="0.3">
      <c r="D2773" s="123"/>
      <c r="E2773" s="15"/>
    </row>
    <row r="2774" spans="4:5" x14ac:dyDescent="0.3">
      <c r="D2774" s="123"/>
      <c r="E2774" s="15"/>
    </row>
    <row r="2775" spans="4:5" x14ac:dyDescent="0.3">
      <c r="D2775" s="123"/>
      <c r="E2775" s="15"/>
    </row>
    <row r="2776" spans="4:5" x14ac:dyDescent="0.3">
      <c r="D2776" s="123"/>
      <c r="E2776" s="15"/>
    </row>
    <row r="2777" spans="4:5" x14ac:dyDescent="0.3">
      <c r="D2777" s="123"/>
      <c r="E2777" s="15"/>
    </row>
    <row r="2778" spans="4:5" x14ac:dyDescent="0.3">
      <c r="D2778" s="123"/>
      <c r="E2778" s="15"/>
    </row>
    <row r="2779" spans="4:5" x14ac:dyDescent="0.3">
      <c r="D2779" s="123"/>
      <c r="E2779" s="15"/>
    </row>
    <row r="2780" spans="4:5" x14ac:dyDescent="0.3">
      <c r="D2780" s="123"/>
      <c r="E2780" s="15"/>
    </row>
    <row r="2781" spans="4:5" x14ac:dyDescent="0.3">
      <c r="D2781" s="123"/>
      <c r="E2781" s="15"/>
    </row>
    <row r="2782" spans="4:5" x14ac:dyDescent="0.3">
      <c r="D2782" s="123"/>
      <c r="E2782" s="15"/>
    </row>
    <row r="2783" spans="4:5" x14ac:dyDescent="0.3">
      <c r="D2783" s="123"/>
      <c r="E2783" s="15"/>
    </row>
    <row r="2784" spans="4:5" x14ac:dyDescent="0.3">
      <c r="D2784" s="123"/>
      <c r="E2784" s="15"/>
    </row>
    <row r="2785" spans="4:5" x14ac:dyDescent="0.3">
      <c r="D2785" s="123"/>
      <c r="E2785" s="15"/>
    </row>
    <row r="2786" spans="4:5" x14ac:dyDescent="0.3">
      <c r="D2786" s="123"/>
      <c r="E2786" s="15"/>
    </row>
    <row r="2787" spans="4:5" x14ac:dyDescent="0.3">
      <c r="D2787" s="123"/>
      <c r="E2787" s="15"/>
    </row>
    <row r="2788" spans="4:5" x14ac:dyDescent="0.3">
      <c r="D2788" s="123"/>
      <c r="E2788" s="15"/>
    </row>
    <row r="2789" spans="4:5" x14ac:dyDescent="0.3">
      <c r="D2789" s="123"/>
      <c r="E2789" s="15"/>
    </row>
    <row r="2790" spans="4:5" x14ac:dyDescent="0.3">
      <c r="D2790" s="123"/>
      <c r="E2790" s="15"/>
    </row>
    <row r="2791" spans="4:5" x14ac:dyDescent="0.3">
      <c r="D2791" s="123"/>
      <c r="E2791" s="15"/>
    </row>
    <row r="2792" spans="4:5" x14ac:dyDescent="0.3">
      <c r="D2792" s="123"/>
      <c r="E2792" s="15"/>
    </row>
    <row r="2793" spans="4:5" x14ac:dyDescent="0.3">
      <c r="D2793" s="123"/>
      <c r="E2793" s="15"/>
    </row>
    <row r="2794" spans="4:5" x14ac:dyDescent="0.3">
      <c r="D2794" s="123"/>
      <c r="E2794" s="15"/>
    </row>
    <row r="2795" spans="4:5" x14ac:dyDescent="0.3">
      <c r="D2795" s="123"/>
      <c r="E2795" s="15"/>
    </row>
    <row r="2796" spans="4:5" x14ac:dyDescent="0.3">
      <c r="D2796" s="123"/>
      <c r="E2796" s="15"/>
    </row>
    <row r="2797" spans="4:5" x14ac:dyDescent="0.3">
      <c r="D2797" s="123"/>
      <c r="E2797" s="15"/>
    </row>
    <row r="2798" spans="4:5" x14ac:dyDescent="0.3">
      <c r="D2798" s="123"/>
      <c r="E2798" s="15"/>
    </row>
    <row r="2799" spans="4:5" x14ac:dyDescent="0.3">
      <c r="D2799" s="123"/>
      <c r="E2799" s="15"/>
    </row>
    <row r="2800" spans="4:5" x14ac:dyDescent="0.3">
      <c r="D2800" s="123"/>
      <c r="E2800" s="15"/>
    </row>
    <row r="2801" spans="4:5" x14ac:dyDescent="0.3">
      <c r="D2801" s="123"/>
      <c r="E2801" s="15"/>
    </row>
    <row r="2802" spans="4:5" x14ac:dyDescent="0.3">
      <c r="D2802" s="123"/>
      <c r="E2802" s="15"/>
    </row>
    <row r="2803" spans="4:5" x14ac:dyDescent="0.3">
      <c r="D2803" s="123"/>
      <c r="E2803" s="15"/>
    </row>
    <row r="2804" spans="4:5" x14ac:dyDescent="0.3">
      <c r="D2804" s="123"/>
      <c r="E2804" s="15"/>
    </row>
    <row r="2805" spans="4:5" x14ac:dyDescent="0.3">
      <c r="D2805" s="123"/>
      <c r="E2805" s="15"/>
    </row>
    <row r="2806" spans="4:5" x14ac:dyDescent="0.3">
      <c r="D2806" s="123"/>
      <c r="E2806" s="15"/>
    </row>
    <row r="2807" spans="4:5" x14ac:dyDescent="0.3">
      <c r="D2807" s="123"/>
      <c r="E2807" s="15"/>
    </row>
    <row r="2808" spans="4:5" x14ac:dyDescent="0.3">
      <c r="D2808" s="123"/>
      <c r="E2808" s="15"/>
    </row>
    <row r="2809" spans="4:5" x14ac:dyDescent="0.3">
      <c r="D2809" s="123"/>
      <c r="E2809" s="15"/>
    </row>
    <row r="2810" spans="4:5" x14ac:dyDescent="0.3">
      <c r="D2810" s="123"/>
      <c r="E2810" s="15"/>
    </row>
    <row r="2811" spans="4:5" x14ac:dyDescent="0.3">
      <c r="D2811" s="123"/>
      <c r="E2811" s="15"/>
    </row>
    <row r="2812" spans="4:5" x14ac:dyDescent="0.3">
      <c r="D2812" s="123"/>
      <c r="E2812" s="15"/>
    </row>
    <row r="2813" spans="4:5" x14ac:dyDescent="0.3">
      <c r="D2813" s="123"/>
      <c r="E2813" s="15"/>
    </row>
    <row r="2814" spans="4:5" x14ac:dyDescent="0.3">
      <c r="D2814" s="123"/>
      <c r="E2814" s="15"/>
    </row>
    <row r="2815" spans="4:5" x14ac:dyDescent="0.3">
      <c r="D2815" s="123"/>
      <c r="E2815" s="15"/>
    </row>
    <row r="2816" spans="4:5" x14ac:dyDescent="0.3">
      <c r="D2816" s="123"/>
      <c r="E2816" s="15"/>
    </row>
    <row r="2817" spans="4:5" x14ac:dyDescent="0.3">
      <c r="D2817" s="123"/>
      <c r="E2817" s="15"/>
    </row>
    <row r="2818" spans="4:5" x14ac:dyDescent="0.3">
      <c r="D2818" s="123"/>
      <c r="E2818" s="15"/>
    </row>
    <row r="2819" spans="4:5" x14ac:dyDescent="0.3">
      <c r="D2819" s="123"/>
      <c r="E2819" s="15"/>
    </row>
    <row r="2820" spans="4:5" x14ac:dyDescent="0.3">
      <c r="D2820" s="123"/>
      <c r="E2820" s="15"/>
    </row>
    <row r="2821" spans="4:5" x14ac:dyDescent="0.3">
      <c r="D2821" s="123"/>
      <c r="E2821" s="15"/>
    </row>
    <row r="2822" spans="4:5" x14ac:dyDescent="0.3">
      <c r="D2822" s="123"/>
      <c r="E2822" s="15"/>
    </row>
    <row r="2823" spans="4:5" x14ac:dyDescent="0.3">
      <c r="D2823" s="123"/>
      <c r="E2823" s="15"/>
    </row>
    <row r="2824" spans="4:5" x14ac:dyDescent="0.3">
      <c r="D2824" s="123"/>
      <c r="E2824" s="15"/>
    </row>
    <row r="2825" spans="4:5" x14ac:dyDescent="0.3">
      <c r="D2825" s="123"/>
      <c r="E2825" s="15"/>
    </row>
    <row r="2826" spans="4:5" x14ac:dyDescent="0.3">
      <c r="D2826" s="123"/>
      <c r="E2826" s="15"/>
    </row>
    <row r="2827" spans="4:5" x14ac:dyDescent="0.3">
      <c r="D2827" s="123"/>
      <c r="E2827" s="15"/>
    </row>
    <row r="2828" spans="4:5" x14ac:dyDescent="0.3">
      <c r="D2828" s="123"/>
      <c r="E2828" s="15"/>
    </row>
    <row r="2829" spans="4:5" x14ac:dyDescent="0.3">
      <c r="D2829" s="123"/>
      <c r="E2829" s="15"/>
    </row>
    <row r="2830" spans="4:5" x14ac:dyDescent="0.3">
      <c r="D2830" s="123"/>
      <c r="E2830" s="15"/>
    </row>
    <row r="2831" spans="4:5" x14ac:dyDescent="0.3">
      <c r="D2831" s="123"/>
      <c r="E2831" s="15"/>
    </row>
    <row r="2832" spans="4:5" x14ac:dyDescent="0.3">
      <c r="D2832" s="123"/>
      <c r="E2832" s="15"/>
    </row>
    <row r="2833" spans="4:5" x14ac:dyDescent="0.3">
      <c r="D2833" s="123"/>
      <c r="E2833" s="15"/>
    </row>
    <row r="2834" spans="4:5" x14ac:dyDescent="0.3">
      <c r="D2834" s="123"/>
      <c r="E2834" s="15"/>
    </row>
    <row r="2835" spans="4:5" x14ac:dyDescent="0.3">
      <c r="D2835" s="123"/>
      <c r="E2835" s="15"/>
    </row>
    <row r="2836" spans="4:5" x14ac:dyDescent="0.3">
      <c r="D2836" s="123"/>
      <c r="E2836" s="15"/>
    </row>
    <row r="2837" spans="4:5" x14ac:dyDescent="0.3">
      <c r="D2837" s="123"/>
      <c r="E2837" s="15"/>
    </row>
    <row r="2838" spans="4:5" x14ac:dyDescent="0.3">
      <c r="D2838" s="123"/>
      <c r="E2838" s="15"/>
    </row>
    <row r="2839" spans="4:5" x14ac:dyDescent="0.3">
      <c r="D2839" s="123"/>
      <c r="E2839" s="15"/>
    </row>
    <row r="2840" spans="4:5" x14ac:dyDescent="0.3">
      <c r="D2840" s="123"/>
      <c r="E2840" s="15"/>
    </row>
    <row r="2841" spans="4:5" x14ac:dyDescent="0.3">
      <c r="D2841" s="123"/>
      <c r="E2841" s="15"/>
    </row>
    <row r="2842" spans="4:5" x14ac:dyDescent="0.3">
      <c r="D2842" s="123"/>
      <c r="E2842" s="15"/>
    </row>
    <row r="2843" spans="4:5" x14ac:dyDescent="0.3">
      <c r="D2843" s="123"/>
      <c r="E2843" s="15"/>
    </row>
    <row r="2844" spans="4:5" x14ac:dyDescent="0.3">
      <c r="D2844" s="123"/>
      <c r="E2844" s="15"/>
    </row>
    <row r="2845" spans="4:5" x14ac:dyDescent="0.3">
      <c r="D2845" s="123"/>
      <c r="E2845" s="15"/>
    </row>
    <row r="2846" spans="4:5" x14ac:dyDescent="0.3">
      <c r="D2846" s="123"/>
      <c r="E2846" s="15"/>
    </row>
    <row r="2847" spans="4:5" x14ac:dyDescent="0.3">
      <c r="D2847" s="123"/>
      <c r="E2847" s="15"/>
    </row>
    <row r="2848" spans="4:5" x14ac:dyDescent="0.3">
      <c r="D2848" s="123"/>
      <c r="E2848" s="15"/>
    </row>
    <row r="2849" spans="4:5" x14ac:dyDescent="0.3">
      <c r="D2849" s="123"/>
      <c r="E2849" s="15"/>
    </row>
    <row r="2850" spans="4:5" x14ac:dyDescent="0.3">
      <c r="D2850" s="123"/>
      <c r="E2850" s="15"/>
    </row>
    <row r="2851" spans="4:5" x14ac:dyDescent="0.3">
      <c r="D2851" s="123"/>
      <c r="E2851" s="15"/>
    </row>
    <row r="2852" spans="4:5" x14ac:dyDescent="0.3">
      <c r="D2852" s="123"/>
      <c r="E2852" s="15"/>
    </row>
    <row r="2853" spans="4:5" x14ac:dyDescent="0.3">
      <c r="D2853" s="123"/>
      <c r="E2853" s="15"/>
    </row>
    <row r="2854" spans="4:5" x14ac:dyDescent="0.3">
      <c r="D2854" s="123"/>
      <c r="E2854" s="15"/>
    </row>
    <row r="2855" spans="4:5" x14ac:dyDescent="0.3">
      <c r="D2855" s="123"/>
      <c r="E2855" s="15"/>
    </row>
    <row r="2856" spans="4:5" x14ac:dyDescent="0.3">
      <c r="D2856" s="123"/>
      <c r="E2856" s="15"/>
    </row>
    <row r="2857" spans="4:5" x14ac:dyDescent="0.3">
      <c r="D2857" s="123"/>
      <c r="E2857" s="15"/>
    </row>
    <row r="2858" spans="4:5" x14ac:dyDescent="0.3">
      <c r="D2858" s="123"/>
      <c r="E2858" s="15"/>
    </row>
    <row r="2859" spans="4:5" x14ac:dyDescent="0.3">
      <c r="D2859" s="123"/>
      <c r="E2859" s="15"/>
    </row>
    <row r="2860" spans="4:5" x14ac:dyDescent="0.3">
      <c r="D2860" s="123"/>
      <c r="E2860" s="15"/>
    </row>
    <row r="2861" spans="4:5" x14ac:dyDescent="0.3">
      <c r="D2861" s="123"/>
      <c r="E2861" s="15"/>
    </row>
    <row r="2862" spans="4:5" x14ac:dyDescent="0.3">
      <c r="D2862" s="123"/>
      <c r="E2862" s="15"/>
    </row>
    <row r="2863" spans="4:5" x14ac:dyDescent="0.3">
      <c r="D2863" s="123"/>
      <c r="E2863" s="15"/>
    </row>
    <row r="2864" spans="4:5" x14ac:dyDescent="0.3">
      <c r="D2864" s="123"/>
      <c r="E2864" s="15"/>
    </row>
    <row r="2865" spans="4:5" x14ac:dyDescent="0.3">
      <c r="D2865" s="123"/>
      <c r="E2865" s="15"/>
    </row>
    <row r="2866" spans="4:5" x14ac:dyDescent="0.3">
      <c r="D2866" s="123"/>
      <c r="E2866" s="15"/>
    </row>
    <row r="2867" spans="4:5" x14ac:dyDescent="0.3">
      <c r="D2867" s="123"/>
      <c r="E2867" s="15"/>
    </row>
    <row r="2868" spans="4:5" x14ac:dyDescent="0.3">
      <c r="D2868" s="123"/>
      <c r="E2868" s="15"/>
    </row>
    <row r="2869" spans="4:5" x14ac:dyDescent="0.3">
      <c r="D2869" s="123"/>
      <c r="E2869" s="15"/>
    </row>
    <row r="2870" spans="4:5" x14ac:dyDescent="0.3">
      <c r="D2870" s="123"/>
      <c r="E2870" s="15"/>
    </row>
    <row r="2871" spans="4:5" x14ac:dyDescent="0.3">
      <c r="D2871" s="123"/>
      <c r="E2871" s="15"/>
    </row>
    <row r="2872" spans="4:5" x14ac:dyDescent="0.3">
      <c r="D2872" s="123"/>
      <c r="E2872" s="15"/>
    </row>
    <row r="2873" spans="4:5" x14ac:dyDescent="0.3">
      <c r="D2873" s="123"/>
      <c r="E2873" s="15"/>
    </row>
    <row r="2874" spans="4:5" x14ac:dyDescent="0.3">
      <c r="D2874" s="123"/>
      <c r="E2874" s="15"/>
    </row>
    <row r="2875" spans="4:5" x14ac:dyDescent="0.3">
      <c r="D2875" s="123"/>
      <c r="E2875" s="15"/>
    </row>
    <row r="2876" spans="4:5" x14ac:dyDescent="0.3">
      <c r="D2876" s="123"/>
      <c r="E2876" s="15"/>
    </row>
    <row r="2877" spans="4:5" x14ac:dyDescent="0.3">
      <c r="D2877" s="123"/>
      <c r="E2877" s="15"/>
    </row>
    <row r="2878" spans="4:5" x14ac:dyDescent="0.3">
      <c r="D2878" s="123"/>
      <c r="E2878" s="15"/>
    </row>
    <row r="2879" spans="4:5" x14ac:dyDescent="0.3">
      <c r="D2879" s="123"/>
      <c r="E2879" s="15"/>
    </row>
    <row r="2880" spans="4:5" x14ac:dyDescent="0.3">
      <c r="D2880" s="123"/>
      <c r="E2880" s="15"/>
    </row>
    <row r="2881" spans="4:5" x14ac:dyDescent="0.3">
      <c r="D2881" s="123"/>
      <c r="E2881" s="15"/>
    </row>
    <row r="2882" spans="4:5" x14ac:dyDescent="0.3">
      <c r="D2882" s="123"/>
      <c r="E2882" s="15"/>
    </row>
    <row r="2883" spans="4:5" x14ac:dyDescent="0.3">
      <c r="D2883" s="123"/>
      <c r="E2883" s="15"/>
    </row>
    <row r="2884" spans="4:5" x14ac:dyDescent="0.3">
      <c r="D2884" s="123"/>
      <c r="E2884" s="15"/>
    </row>
    <row r="2885" spans="4:5" x14ac:dyDescent="0.3">
      <c r="D2885" s="123"/>
      <c r="E2885" s="15"/>
    </row>
    <row r="2886" spans="4:5" x14ac:dyDescent="0.3">
      <c r="D2886" s="123"/>
      <c r="E2886" s="15"/>
    </row>
    <row r="2887" spans="4:5" x14ac:dyDescent="0.3">
      <c r="D2887" s="123"/>
      <c r="E2887" s="15"/>
    </row>
    <row r="2888" spans="4:5" x14ac:dyDescent="0.3">
      <c r="D2888" s="123"/>
      <c r="E2888" s="15"/>
    </row>
    <row r="2889" spans="4:5" x14ac:dyDescent="0.3">
      <c r="D2889" s="123"/>
      <c r="E2889" s="15"/>
    </row>
    <row r="2890" spans="4:5" x14ac:dyDescent="0.3">
      <c r="D2890" s="123"/>
      <c r="E2890" s="15"/>
    </row>
    <row r="2891" spans="4:5" x14ac:dyDescent="0.3">
      <c r="D2891" s="123"/>
      <c r="E2891" s="15"/>
    </row>
    <row r="2892" spans="4:5" x14ac:dyDescent="0.3">
      <c r="D2892" s="123"/>
      <c r="E2892" s="15"/>
    </row>
    <row r="2893" spans="4:5" x14ac:dyDescent="0.3">
      <c r="D2893" s="123"/>
      <c r="E2893" s="15"/>
    </row>
    <row r="2894" spans="4:5" x14ac:dyDescent="0.3">
      <c r="D2894" s="123"/>
      <c r="E2894" s="15"/>
    </row>
    <row r="2895" spans="4:5" x14ac:dyDescent="0.3">
      <c r="D2895" s="123"/>
      <c r="E2895" s="15"/>
    </row>
    <row r="2896" spans="4:5" x14ac:dyDescent="0.3">
      <c r="D2896" s="123"/>
      <c r="E2896" s="15"/>
    </row>
    <row r="2897" spans="4:5" x14ac:dyDescent="0.3">
      <c r="D2897" s="123"/>
      <c r="E2897" s="15"/>
    </row>
    <row r="2898" spans="4:5" x14ac:dyDescent="0.3">
      <c r="D2898" s="123"/>
      <c r="E2898" s="15"/>
    </row>
    <row r="2899" spans="4:5" x14ac:dyDescent="0.3">
      <c r="D2899" s="123"/>
      <c r="E2899" s="15"/>
    </row>
    <row r="2900" spans="4:5" x14ac:dyDescent="0.3">
      <c r="D2900" s="123"/>
      <c r="E2900" s="1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39D8-94D7-4137-8CEB-5868A33EB993}">
  <dimension ref="A1:L39"/>
  <sheetViews>
    <sheetView showGridLines="0" workbookViewId="0">
      <selection activeCell="E1" sqref="E1"/>
    </sheetView>
  </sheetViews>
  <sheetFormatPr defaultRowHeight="14.4" x14ac:dyDescent="0.3"/>
  <cols>
    <col min="1" max="3" width="1.296875" style="13" customWidth="1"/>
    <col min="4" max="4" width="17.59765625" style="14" bestFit="1" customWidth="1"/>
    <col min="5" max="5" width="18.19921875" style="14" bestFit="1" customWidth="1"/>
    <col min="6" max="6" width="9.3984375" style="14" bestFit="1" customWidth="1"/>
    <col min="7" max="7" width="8.09765625" style="14" bestFit="1" customWidth="1"/>
    <col min="8" max="8" width="10.09765625" style="14" bestFit="1" customWidth="1"/>
    <col min="9" max="9" width="10.8984375" style="14" customWidth="1"/>
    <col min="10" max="10" width="8.09765625" style="14" bestFit="1" customWidth="1"/>
    <col min="11" max="11" width="10.69921875" style="14" bestFit="1" customWidth="1"/>
    <col min="12" max="12" width="12.5" style="14" bestFit="1" customWidth="1"/>
    <col min="13" max="16384" width="8.796875" style="1"/>
  </cols>
  <sheetData>
    <row r="1" spans="1:12" ht="25.05" customHeight="1" x14ac:dyDescent="0.4">
      <c r="A1" s="111" t="s">
        <v>225</v>
      </c>
      <c r="B1" s="111"/>
      <c r="C1" s="116"/>
      <c r="D1" s="9"/>
      <c r="E1" s="10"/>
      <c r="F1" s="10"/>
      <c r="G1" s="10"/>
      <c r="H1" s="118"/>
      <c r="I1" s="118"/>
      <c r="J1" s="118"/>
      <c r="K1" s="118"/>
      <c r="L1" s="110" t="s">
        <v>186</v>
      </c>
    </row>
    <row r="2" spans="1:12" x14ac:dyDescent="0.3">
      <c r="H2" s="15"/>
    </row>
    <row r="3" spans="1:12" x14ac:dyDescent="0.3">
      <c r="D3" s="89" t="s">
        <v>175</v>
      </c>
      <c r="E3" s="89" t="s">
        <v>184</v>
      </c>
      <c r="F3" s="89" t="s">
        <v>220</v>
      </c>
      <c r="G3" s="89" t="s">
        <v>204</v>
      </c>
      <c r="H3" s="112" t="s">
        <v>221</v>
      </c>
      <c r="I3" s="89" t="s">
        <v>222</v>
      </c>
      <c r="J3" s="89" t="s">
        <v>142</v>
      </c>
      <c r="K3" s="89" t="s">
        <v>223</v>
      </c>
      <c r="L3" s="89" t="s">
        <v>224</v>
      </c>
    </row>
    <row r="4" spans="1:12" x14ac:dyDescent="0.3">
      <c r="D4" s="107" t="s">
        <v>176</v>
      </c>
      <c r="E4" s="107" t="s">
        <v>192</v>
      </c>
      <c r="F4" s="114">
        <f>'Relative Valuation'!H25</f>
        <v>449959.27</v>
      </c>
      <c r="G4" s="114">
        <f>'Relative Valuation'!I25</f>
        <v>4627.32</v>
      </c>
      <c r="H4" s="113">
        <f>G4/F4</f>
        <v>1.0283864137302916E-2</v>
      </c>
      <c r="I4" s="113">
        <f t="shared" ref="I4:I10" si="0">G4/SUM(F4:G4)</f>
        <v>1.0179182804314573E-2</v>
      </c>
      <c r="J4" s="113">
        <v>0.3</v>
      </c>
      <c r="K4" s="91">
        <v>0.48</v>
      </c>
      <c r="L4" s="115">
        <f t="shared" ref="L4:L10" si="1">K4/(1+H4*(1-J4))</f>
        <v>0.47656931811633912</v>
      </c>
    </row>
    <row r="5" spans="1:12" x14ac:dyDescent="0.3">
      <c r="D5" s="107" t="s">
        <v>177</v>
      </c>
      <c r="E5" s="107" t="s">
        <v>194</v>
      </c>
      <c r="F5" s="114">
        <f>'Relative Valuation'!H26</f>
        <v>251921.74</v>
      </c>
      <c r="G5" s="114">
        <f>'Relative Valuation'!I26</f>
        <v>7</v>
      </c>
      <c r="H5" s="113">
        <f t="shared" ref="H5:H10" si="2">G5/F5</f>
        <v>2.7786407000840817E-5</v>
      </c>
      <c r="I5" s="113">
        <f t="shared" si="0"/>
        <v>2.7785634937879657E-5</v>
      </c>
      <c r="J5" s="113">
        <v>0.3</v>
      </c>
      <c r="K5" s="91">
        <v>0.59</v>
      </c>
      <c r="L5" s="115">
        <f t="shared" si="1"/>
        <v>0.58998852443711391</v>
      </c>
    </row>
    <row r="6" spans="1:12" x14ac:dyDescent="0.3">
      <c r="D6" s="107" t="s">
        <v>178</v>
      </c>
      <c r="E6" s="107" t="s">
        <v>195</v>
      </c>
      <c r="F6" s="114">
        <f>'Relative Valuation'!H27</f>
        <v>188327.75</v>
      </c>
      <c r="G6" s="114">
        <f>'Relative Valuation'!I27</f>
        <v>15025.5</v>
      </c>
      <c r="H6" s="113">
        <f t="shared" si="2"/>
        <v>7.978378120059311E-2</v>
      </c>
      <c r="I6" s="113">
        <f t="shared" si="0"/>
        <v>7.3888664184122946E-2</v>
      </c>
      <c r="J6" s="113">
        <v>0.3</v>
      </c>
      <c r="K6" s="91">
        <v>0.23</v>
      </c>
      <c r="L6" s="115">
        <f t="shared" si="1"/>
        <v>0.21783425180139768</v>
      </c>
    </row>
    <row r="7" spans="1:12" x14ac:dyDescent="0.3">
      <c r="D7" s="107" t="s">
        <v>179</v>
      </c>
      <c r="E7" s="107" t="s">
        <v>196</v>
      </c>
      <c r="F7" s="114">
        <f>'Relative Valuation'!H28</f>
        <v>113485.99</v>
      </c>
      <c r="G7" s="114">
        <f>'Relative Valuation'!I28</f>
        <v>12496</v>
      </c>
      <c r="H7" s="113">
        <f t="shared" si="2"/>
        <v>0.11011050791379623</v>
      </c>
      <c r="I7" s="113">
        <f t="shared" si="0"/>
        <v>9.9188780872567578E-2</v>
      </c>
      <c r="J7" s="113">
        <v>0.3</v>
      </c>
      <c r="K7" s="91">
        <v>0.66</v>
      </c>
      <c r="L7" s="115">
        <f t="shared" si="1"/>
        <v>0.61276935830603785</v>
      </c>
    </row>
    <row r="8" spans="1:12" x14ac:dyDescent="0.3">
      <c r="D8" s="107" t="s">
        <v>180</v>
      </c>
      <c r="E8" s="107" t="s">
        <v>197</v>
      </c>
      <c r="F8" s="114">
        <f>'Relative Valuation'!H29</f>
        <v>111023.92</v>
      </c>
      <c r="G8" s="114">
        <f>'Relative Valuation'!I29</f>
        <v>613.77</v>
      </c>
      <c r="H8" s="113">
        <f t="shared" si="2"/>
        <v>5.5282681425768429E-3</v>
      </c>
      <c r="I8" s="113">
        <f t="shared" si="0"/>
        <v>5.4978744185767365E-3</v>
      </c>
      <c r="J8" s="113">
        <v>0.3</v>
      </c>
      <c r="K8" s="115">
        <v>0.6</v>
      </c>
      <c r="L8" s="115">
        <f t="shared" si="1"/>
        <v>0.5976870778976201</v>
      </c>
    </row>
    <row r="9" spans="1:12" x14ac:dyDescent="0.3">
      <c r="D9" s="107" t="s">
        <v>181</v>
      </c>
      <c r="E9" s="107" t="s">
        <v>198</v>
      </c>
      <c r="F9" s="114">
        <f>'Relative Valuation'!H30</f>
        <v>104369.42</v>
      </c>
      <c r="G9" s="114">
        <f>'Relative Valuation'!I30</f>
        <v>2518.48</v>
      </c>
      <c r="H9" s="113">
        <f t="shared" si="2"/>
        <v>2.4130439739916156E-2</v>
      </c>
      <c r="I9" s="113">
        <f t="shared" si="0"/>
        <v>2.3561881185803071E-2</v>
      </c>
      <c r="J9" s="113">
        <v>0.3</v>
      </c>
      <c r="K9" s="91">
        <v>0.84</v>
      </c>
      <c r="L9" s="115">
        <f t="shared" si="1"/>
        <v>0.82604698608593963</v>
      </c>
    </row>
    <row r="10" spans="1:12" x14ac:dyDescent="0.3">
      <c r="D10" s="107" t="s">
        <v>182</v>
      </c>
      <c r="E10" s="107" t="s">
        <v>199</v>
      </c>
      <c r="F10" s="114">
        <f>'Relative Valuation'!H31</f>
        <v>96502.38</v>
      </c>
      <c r="G10" s="114">
        <f>'Relative Valuation'!I31</f>
        <v>8072.84</v>
      </c>
      <c r="H10" s="113">
        <f t="shared" si="2"/>
        <v>8.3654309872979296E-2</v>
      </c>
      <c r="I10" s="113">
        <f t="shared" si="0"/>
        <v>7.7196490717399396E-2</v>
      </c>
      <c r="J10" s="113">
        <v>0.3</v>
      </c>
      <c r="K10" s="91">
        <v>0.37</v>
      </c>
      <c r="L10" s="115">
        <f t="shared" si="1"/>
        <v>0.3495320937435954</v>
      </c>
    </row>
    <row r="12" spans="1:12" x14ac:dyDescent="0.3">
      <c r="D12" s="97" t="s">
        <v>226</v>
      </c>
      <c r="E12" s="98"/>
      <c r="F12" s="98"/>
      <c r="G12" s="98"/>
      <c r="H12" s="147">
        <f>AVERAGE(H4:H10)</f>
        <v>4.4788422487737914E-2</v>
      </c>
      <c r="I12" s="147">
        <f>AVERAGE(I4:I10)</f>
        <v>4.1362951402531746E-2</v>
      </c>
      <c r="J12" s="147">
        <f>AVERAGE(J4:J10)</f>
        <v>0.3</v>
      </c>
      <c r="K12" s="148">
        <f>AVERAGE(K4:K10)</f>
        <v>0.53857142857142859</v>
      </c>
      <c r="L12" s="148">
        <f>AVERAGE(L4:L10)</f>
        <v>0.52434680148400625</v>
      </c>
    </row>
    <row r="13" spans="1:12" x14ac:dyDescent="0.3">
      <c r="D13" s="100" t="s">
        <v>210</v>
      </c>
      <c r="E13" s="101"/>
      <c r="F13" s="101"/>
      <c r="G13" s="101"/>
      <c r="H13" s="147">
        <f>MEDIAN(H4:H10)</f>
        <v>2.4130439739916156E-2</v>
      </c>
      <c r="I13" s="147">
        <f>MEDIAN(I4:I10)</f>
        <v>2.3561881185803071E-2</v>
      </c>
      <c r="J13" s="147">
        <f>MEDIAN(J4:J10)</f>
        <v>0.3</v>
      </c>
      <c r="K13" s="148">
        <f>MEDIAN(K4:K10)</f>
        <v>0.59</v>
      </c>
      <c r="L13" s="148">
        <f>MEDIAN(L4:L10)</f>
        <v>0.58998852443711391</v>
      </c>
    </row>
    <row r="15" spans="1:12" x14ac:dyDescent="0.3">
      <c r="D15" s="107" t="s">
        <v>183</v>
      </c>
      <c r="E15" s="107" t="s">
        <v>193</v>
      </c>
      <c r="F15" s="114">
        <v>62167.79</v>
      </c>
      <c r="G15" s="114">
        <v>2047.16</v>
      </c>
    </row>
    <row r="17" spans="3:8" x14ac:dyDescent="0.3">
      <c r="C17" s="80" t="s">
        <v>227</v>
      </c>
    </row>
    <row r="18" spans="3:8" x14ac:dyDescent="0.3">
      <c r="C18" s="5" t="s">
        <v>238</v>
      </c>
      <c r="D18" s="54"/>
      <c r="E18" s="54"/>
    </row>
    <row r="19" spans="3:8" x14ac:dyDescent="0.3">
      <c r="D19" s="14" t="s">
        <v>228</v>
      </c>
      <c r="E19" s="30">
        <f>I12</f>
        <v>4.1362951402531746E-2</v>
      </c>
    </row>
    <row r="20" spans="3:8" x14ac:dyDescent="0.3">
      <c r="D20" s="14" t="s">
        <v>229</v>
      </c>
      <c r="E20" s="30">
        <f>1-E19</f>
        <v>0.95863704859746823</v>
      </c>
    </row>
    <row r="21" spans="3:8" x14ac:dyDescent="0.3">
      <c r="E21" s="30"/>
    </row>
    <row r="22" spans="3:8" x14ac:dyDescent="0.3">
      <c r="C22" s="5" t="s">
        <v>239</v>
      </c>
      <c r="D22" s="54"/>
      <c r="E22" s="54"/>
    </row>
    <row r="23" spans="3:8" x14ac:dyDescent="0.3">
      <c r="D23" s="14" t="s">
        <v>187</v>
      </c>
      <c r="E23" s="15">
        <f>F15</f>
        <v>62167.79</v>
      </c>
    </row>
    <row r="24" spans="3:8" x14ac:dyDescent="0.3">
      <c r="D24" s="14" t="s">
        <v>173</v>
      </c>
      <c r="E24" s="15">
        <f>G15</f>
        <v>2047.16</v>
      </c>
    </row>
    <row r="25" spans="3:8" x14ac:dyDescent="0.3">
      <c r="D25" s="14" t="s">
        <v>230</v>
      </c>
      <c r="E25" s="83">
        <f>E24/E23</f>
        <v>3.2929592639532469E-2</v>
      </c>
    </row>
    <row r="26" spans="3:8" x14ac:dyDescent="0.3">
      <c r="E26" s="83"/>
    </row>
    <row r="27" spans="3:8" x14ac:dyDescent="0.3">
      <c r="C27" s="53" t="s">
        <v>240</v>
      </c>
      <c r="D27" s="54"/>
      <c r="E27" s="54"/>
    </row>
    <row r="28" spans="3:8" x14ac:dyDescent="0.3">
      <c r="D28" s="14" t="s">
        <v>231</v>
      </c>
      <c r="E28" s="120">
        <f>Debt!M9</f>
        <v>0.09</v>
      </c>
    </row>
    <row r="29" spans="3:8" x14ac:dyDescent="0.3">
      <c r="D29" s="14" t="s">
        <v>142</v>
      </c>
      <c r="E29" s="121">
        <f>'Income Statement'!M31</f>
        <v>0.31</v>
      </c>
    </row>
    <row r="30" spans="3:8" x14ac:dyDescent="0.3">
      <c r="D30" s="14" t="s">
        <v>232</v>
      </c>
      <c r="E30" s="30">
        <f>E28*(1-E29)</f>
        <v>6.2099999999999995E-2</v>
      </c>
      <c r="F30" s="30"/>
      <c r="H30" s="149"/>
    </row>
    <row r="32" spans="3:8" x14ac:dyDescent="0.3">
      <c r="C32" s="53" t="s">
        <v>237</v>
      </c>
      <c r="D32" s="54"/>
      <c r="E32" s="54"/>
    </row>
    <row r="33" spans="4:5" x14ac:dyDescent="0.3">
      <c r="D33" s="14" t="s">
        <v>233</v>
      </c>
      <c r="E33" s="39">
        <v>6.9000000000000006E-2</v>
      </c>
    </row>
    <row r="34" spans="4:5" x14ac:dyDescent="0.3">
      <c r="D34" s="14" t="s">
        <v>234</v>
      </c>
      <c r="E34" s="120">
        <f>'Index Price'!H5</f>
        <v>8.3998188341444235E-2</v>
      </c>
    </row>
    <row r="35" spans="4:5" x14ac:dyDescent="0.3">
      <c r="D35" s="14" t="s">
        <v>235</v>
      </c>
      <c r="E35" s="30">
        <f>E34-E33</f>
        <v>1.499818834144423E-2</v>
      </c>
    </row>
    <row r="36" spans="4:5" x14ac:dyDescent="0.3">
      <c r="D36" s="54" t="s">
        <v>236</v>
      </c>
      <c r="E36" s="125">
        <f>L13*(1+E25)*(1-E29)</f>
        <v>0.42049745828409058</v>
      </c>
    </row>
    <row r="37" spans="4:5" x14ac:dyDescent="0.3">
      <c r="D37" s="14" t="s">
        <v>237</v>
      </c>
      <c r="E37" s="30">
        <f>E33+E36*E35</f>
        <v>7.5306700076443384E-2</v>
      </c>
    </row>
    <row r="39" spans="4:5" x14ac:dyDescent="0.3">
      <c r="D39" s="117" t="s">
        <v>227</v>
      </c>
      <c r="E39" s="126">
        <f>(E19*E30)+(E20*E37)</f>
        <v>7.4760431982993633E-2</v>
      </c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D451-F72D-4BE3-98E2-4D156DA49232}">
  <dimension ref="A1:H290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4.4" x14ac:dyDescent="0.3"/>
  <cols>
    <col min="1" max="3" width="1.296875" style="13" customWidth="1"/>
    <col min="4" max="4" width="9.296875" style="14" bestFit="1" customWidth="1"/>
    <col min="5" max="5" width="10.69921875" style="14" customWidth="1"/>
    <col min="6" max="6" width="4.09765625" style="14" customWidth="1"/>
    <col min="7" max="7" width="12" style="14" bestFit="1" customWidth="1"/>
    <col min="8" max="8" width="4.5" style="14" bestFit="1" customWidth="1"/>
    <col min="9" max="16384" width="8.796875" style="1"/>
  </cols>
  <sheetData>
    <row r="1" spans="1:8" ht="25.05" customHeight="1" x14ac:dyDescent="0.4">
      <c r="A1" s="122" t="s">
        <v>285</v>
      </c>
      <c r="B1" s="8"/>
      <c r="C1" s="8"/>
      <c r="D1" s="9"/>
      <c r="E1" s="9"/>
      <c r="F1" s="9"/>
      <c r="G1" s="9"/>
      <c r="H1" s="178"/>
    </row>
    <row r="2" spans="1:8" x14ac:dyDescent="0.3">
      <c r="D2" s="124" t="s">
        <v>241</v>
      </c>
      <c r="E2" s="124" t="s">
        <v>242</v>
      </c>
      <c r="H2" s="15"/>
    </row>
    <row r="3" spans="1:8" x14ac:dyDescent="0.3">
      <c r="D3" s="123">
        <v>46266</v>
      </c>
      <c r="E3" s="15">
        <v>74781.759999999995</v>
      </c>
      <c r="H3" s="15"/>
    </row>
    <row r="4" spans="1:8" x14ac:dyDescent="0.3">
      <c r="D4" s="123">
        <v>46235</v>
      </c>
      <c r="E4" s="15">
        <v>76957.27</v>
      </c>
      <c r="G4" s="64" t="s">
        <v>243</v>
      </c>
      <c r="H4" s="144">
        <f>YEARFRAC(D143,D3)</f>
        <v>11.666666666666666</v>
      </c>
    </row>
    <row r="5" spans="1:8" x14ac:dyDescent="0.3">
      <c r="D5" s="123">
        <v>46204</v>
      </c>
      <c r="E5" s="15">
        <v>78094.64</v>
      </c>
      <c r="G5" s="64" t="s">
        <v>244</v>
      </c>
      <c r="H5" s="145">
        <f>_xlfn.RRI(H4,E143,E3)</f>
        <v>8.3998188341444235E-2</v>
      </c>
    </row>
    <row r="6" spans="1:8" x14ac:dyDescent="0.3">
      <c r="D6" s="123">
        <v>46174</v>
      </c>
      <c r="E6" s="15">
        <v>76478.67</v>
      </c>
    </row>
    <row r="7" spans="1:8" x14ac:dyDescent="0.3">
      <c r="D7" s="123">
        <v>46143</v>
      </c>
      <c r="E7" s="15">
        <v>74775.740000000005</v>
      </c>
    </row>
    <row r="8" spans="1:8" x14ac:dyDescent="0.3">
      <c r="D8" s="123">
        <v>46113</v>
      </c>
      <c r="E8" s="15">
        <v>76913.5</v>
      </c>
    </row>
    <row r="9" spans="1:8" x14ac:dyDescent="0.3">
      <c r="D9" s="123">
        <v>46082</v>
      </c>
      <c r="E9" s="15">
        <v>71947.55</v>
      </c>
    </row>
    <row r="10" spans="1:8" x14ac:dyDescent="0.3">
      <c r="D10" s="123">
        <v>46054</v>
      </c>
      <c r="E10" s="15">
        <v>81287.19</v>
      </c>
    </row>
    <row r="11" spans="1:8" x14ac:dyDescent="0.3">
      <c r="D11" s="123">
        <v>46023</v>
      </c>
      <c r="E11" s="15">
        <v>82269.78</v>
      </c>
    </row>
    <row r="12" spans="1:8" x14ac:dyDescent="0.3">
      <c r="D12" s="123">
        <v>45992</v>
      </c>
      <c r="E12" s="15">
        <v>85220.6</v>
      </c>
    </row>
    <row r="13" spans="1:8" x14ac:dyDescent="0.3">
      <c r="D13" s="123">
        <v>45962</v>
      </c>
      <c r="E13" s="15">
        <v>85706.67</v>
      </c>
    </row>
    <row r="14" spans="1:8" x14ac:dyDescent="0.3">
      <c r="D14" s="123">
        <v>45931</v>
      </c>
      <c r="E14" s="15">
        <v>83938.71</v>
      </c>
    </row>
    <row r="15" spans="1:8" x14ac:dyDescent="0.3">
      <c r="D15" s="123">
        <v>45901</v>
      </c>
      <c r="E15" s="15">
        <v>80267.62</v>
      </c>
    </row>
    <row r="16" spans="1:8" x14ac:dyDescent="0.3">
      <c r="D16" s="123">
        <v>45870</v>
      </c>
      <c r="E16" s="15">
        <v>79809.649999999994</v>
      </c>
    </row>
    <row r="17" spans="4:5" x14ac:dyDescent="0.3">
      <c r="D17" s="123">
        <v>45839</v>
      </c>
      <c r="E17" s="15">
        <v>81185.58</v>
      </c>
    </row>
    <row r="18" spans="4:5" x14ac:dyDescent="0.3">
      <c r="D18" s="123">
        <v>45809</v>
      </c>
      <c r="E18" s="15">
        <v>83606.460000000006</v>
      </c>
    </row>
    <row r="19" spans="4:5" x14ac:dyDescent="0.3">
      <c r="D19" s="123">
        <v>45778</v>
      </c>
      <c r="E19" s="15">
        <v>81451.009999999995</v>
      </c>
    </row>
    <row r="20" spans="4:5" x14ac:dyDescent="0.3">
      <c r="D20" s="123">
        <v>45748</v>
      </c>
      <c r="E20" s="15">
        <v>80242.240000000005</v>
      </c>
    </row>
    <row r="21" spans="4:5" x14ac:dyDescent="0.3">
      <c r="D21" s="123">
        <v>45717</v>
      </c>
      <c r="E21" s="15">
        <v>77414.92</v>
      </c>
    </row>
    <row r="22" spans="4:5" x14ac:dyDescent="0.3">
      <c r="D22" s="123">
        <v>45689</v>
      </c>
      <c r="E22" s="15">
        <v>73198.100000000006</v>
      </c>
    </row>
    <row r="23" spans="4:5" x14ac:dyDescent="0.3">
      <c r="D23" s="123">
        <v>45658</v>
      </c>
      <c r="E23" s="15">
        <v>77500.570000000007</v>
      </c>
    </row>
    <row r="24" spans="4:5" x14ac:dyDescent="0.3">
      <c r="D24" s="123">
        <v>45627</v>
      </c>
      <c r="E24" s="15">
        <v>78139.009999999995</v>
      </c>
    </row>
    <row r="25" spans="4:5" x14ac:dyDescent="0.3">
      <c r="D25" s="123">
        <v>45597</v>
      </c>
      <c r="E25" s="15">
        <v>79802.789999999994</v>
      </c>
    </row>
    <row r="26" spans="4:5" x14ac:dyDescent="0.3">
      <c r="D26" s="123">
        <v>45566</v>
      </c>
      <c r="E26" s="15">
        <v>79389.06</v>
      </c>
    </row>
    <row r="27" spans="4:5" x14ac:dyDescent="0.3">
      <c r="D27" s="123">
        <v>45536</v>
      </c>
      <c r="E27" s="15">
        <v>84299.78</v>
      </c>
    </row>
    <row r="28" spans="4:5" x14ac:dyDescent="0.3">
      <c r="D28" s="123">
        <v>45505</v>
      </c>
      <c r="E28" s="15">
        <v>82365.77</v>
      </c>
    </row>
    <row r="29" spans="4:5" x14ac:dyDescent="0.3">
      <c r="D29" s="123">
        <v>45474</v>
      </c>
      <c r="E29" s="15">
        <v>81741.34</v>
      </c>
    </row>
    <row r="30" spans="4:5" x14ac:dyDescent="0.3">
      <c r="D30" s="123">
        <v>45444</v>
      </c>
      <c r="E30" s="15">
        <v>79032.73</v>
      </c>
    </row>
    <row r="31" spans="4:5" x14ac:dyDescent="0.3">
      <c r="D31" s="123">
        <v>45413</v>
      </c>
      <c r="E31" s="15">
        <v>73961.31</v>
      </c>
    </row>
    <row r="32" spans="4:5" x14ac:dyDescent="0.3">
      <c r="D32" s="123">
        <v>45383</v>
      </c>
      <c r="E32" s="15">
        <v>74482.78</v>
      </c>
    </row>
    <row r="33" spans="4:5" x14ac:dyDescent="0.3">
      <c r="D33" s="123">
        <v>45352</v>
      </c>
      <c r="E33" s="15">
        <v>73651.350000000006</v>
      </c>
    </row>
    <row r="34" spans="4:5" x14ac:dyDescent="0.3">
      <c r="D34" s="123">
        <v>45323</v>
      </c>
      <c r="E34" s="15">
        <v>72500.3</v>
      </c>
    </row>
    <row r="35" spans="4:5" x14ac:dyDescent="0.3">
      <c r="D35" s="123">
        <v>45292</v>
      </c>
      <c r="E35" s="15">
        <v>71752.11</v>
      </c>
    </row>
    <row r="36" spans="4:5" x14ac:dyDescent="0.3">
      <c r="D36" s="123">
        <v>45261</v>
      </c>
      <c r="E36" s="15">
        <v>72240.259999999995</v>
      </c>
    </row>
    <row r="37" spans="4:5" x14ac:dyDescent="0.3">
      <c r="D37" s="123">
        <v>45231</v>
      </c>
      <c r="E37" s="15">
        <v>66988.44</v>
      </c>
    </row>
    <row r="38" spans="4:5" x14ac:dyDescent="0.3">
      <c r="D38" s="123">
        <v>45200</v>
      </c>
      <c r="E38" s="15">
        <v>63874.93</v>
      </c>
    </row>
    <row r="39" spans="4:5" x14ac:dyDescent="0.3">
      <c r="D39" s="123">
        <v>45170</v>
      </c>
      <c r="E39" s="15">
        <v>65828.41</v>
      </c>
    </row>
    <row r="40" spans="4:5" x14ac:dyDescent="0.3">
      <c r="D40" s="123">
        <v>45139</v>
      </c>
      <c r="E40" s="15">
        <v>64831.41</v>
      </c>
    </row>
    <row r="41" spans="4:5" x14ac:dyDescent="0.3">
      <c r="D41" s="123">
        <v>45108</v>
      </c>
      <c r="E41" s="15">
        <v>66527.67</v>
      </c>
    </row>
    <row r="42" spans="4:5" x14ac:dyDescent="0.3">
      <c r="D42" s="123">
        <v>45078</v>
      </c>
      <c r="E42" s="15">
        <v>64718.559999999998</v>
      </c>
    </row>
    <row r="43" spans="4:5" x14ac:dyDescent="0.3">
      <c r="D43" s="123">
        <v>45047</v>
      </c>
      <c r="E43" s="15">
        <v>62622.239999999998</v>
      </c>
    </row>
    <row r="44" spans="4:5" x14ac:dyDescent="0.3">
      <c r="D44" s="123">
        <v>45017</v>
      </c>
      <c r="E44" s="15">
        <v>61112.44</v>
      </c>
    </row>
    <row r="45" spans="4:5" x14ac:dyDescent="0.3">
      <c r="D45" s="123">
        <v>44986</v>
      </c>
      <c r="E45" s="15">
        <v>58991.519999999997</v>
      </c>
    </row>
    <row r="46" spans="4:5" x14ac:dyDescent="0.3">
      <c r="D46" s="123">
        <v>44958</v>
      </c>
      <c r="E46" s="15">
        <v>58962.12</v>
      </c>
    </row>
    <row r="47" spans="4:5" x14ac:dyDescent="0.3">
      <c r="D47" s="123">
        <v>44927</v>
      </c>
      <c r="E47" s="15">
        <v>59549.9</v>
      </c>
    </row>
    <row r="48" spans="4:5" x14ac:dyDescent="0.3">
      <c r="D48" s="123">
        <v>44896</v>
      </c>
      <c r="E48" s="15">
        <v>60840.74</v>
      </c>
    </row>
    <row r="49" spans="4:5" x14ac:dyDescent="0.3">
      <c r="D49" s="123">
        <v>44866</v>
      </c>
      <c r="E49" s="15">
        <v>63099.65</v>
      </c>
    </row>
    <row r="50" spans="4:5" x14ac:dyDescent="0.3">
      <c r="D50" s="123">
        <v>44835</v>
      </c>
      <c r="E50" s="15">
        <v>60746.59</v>
      </c>
    </row>
    <row r="51" spans="4:5" x14ac:dyDescent="0.3">
      <c r="D51" s="123">
        <v>44805</v>
      </c>
      <c r="E51" s="15">
        <v>57426.92</v>
      </c>
    </row>
    <row r="52" spans="4:5" x14ac:dyDescent="0.3">
      <c r="D52" s="123">
        <v>44774</v>
      </c>
      <c r="E52" s="15">
        <v>59537.07</v>
      </c>
    </row>
    <row r="53" spans="4:5" x14ac:dyDescent="0.3">
      <c r="D53" s="123">
        <v>44743</v>
      </c>
      <c r="E53" s="15">
        <v>57570.25</v>
      </c>
    </row>
    <row r="54" spans="4:5" x14ac:dyDescent="0.3">
      <c r="D54" s="123">
        <v>44713</v>
      </c>
      <c r="E54" s="15">
        <v>53018.94</v>
      </c>
    </row>
    <row r="55" spans="4:5" x14ac:dyDescent="0.3">
      <c r="D55" s="123">
        <v>44682</v>
      </c>
      <c r="E55" s="15">
        <v>55566.41</v>
      </c>
    </row>
    <row r="56" spans="4:5" x14ac:dyDescent="0.3">
      <c r="D56" s="123">
        <v>44652</v>
      </c>
      <c r="E56" s="15">
        <v>57060.87</v>
      </c>
    </row>
    <row r="57" spans="4:5" x14ac:dyDescent="0.3">
      <c r="D57" s="123">
        <v>44621</v>
      </c>
      <c r="E57" s="15">
        <v>58568.51</v>
      </c>
    </row>
    <row r="58" spans="4:5" x14ac:dyDescent="0.3">
      <c r="D58" s="123">
        <v>44593</v>
      </c>
      <c r="E58" s="15">
        <v>56247.28</v>
      </c>
    </row>
    <row r="59" spans="4:5" x14ac:dyDescent="0.3">
      <c r="D59" s="123">
        <v>44562</v>
      </c>
      <c r="E59" s="15">
        <v>58014.17</v>
      </c>
    </row>
    <row r="60" spans="4:5" x14ac:dyDescent="0.3">
      <c r="D60" s="123">
        <v>44531</v>
      </c>
      <c r="E60" s="15">
        <v>58253.82</v>
      </c>
    </row>
    <row r="61" spans="4:5" x14ac:dyDescent="0.3">
      <c r="D61" s="123">
        <v>44501</v>
      </c>
      <c r="E61" s="15">
        <v>57064.87</v>
      </c>
    </row>
    <row r="62" spans="4:5" x14ac:dyDescent="0.3">
      <c r="D62" s="123">
        <v>44470</v>
      </c>
      <c r="E62" s="15">
        <v>59306.93</v>
      </c>
    </row>
    <row r="63" spans="4:5" x14ac:dyDescent="0.3">
      <c r="D63" s="123">
        <v>44440</v>
      </c>
      <c r="E63" s="15">
        <v>59126.36</v>
      </c>
    </row>
    <row r="64" spans="4:5" x14ac:dyDescent="0.3">
      <c r="D64" s="123">
        <v>44409</v>
      </c>
      <c r="E64" s="15">
        <v>57552.39</v>
      </c>
    </row>
    <row r="65" spans="4:5" x14ac:dyDescent="0.3">
      <c r="D65" s="123">
        <v>44378</v>
      </c>
      <c r="E65" s="15">
        <v>52586.84</v>
      </c>
    </row>
    <row r="66" spans="4:5" x14ac:dyDescent="0.3">
      <c r="D66" s="123">
        <v>44348</v>
      </c>
      <c r="E66" s="15">
        <v>52482.71</v>
      </c>
    </row>
    <row r="67" spans="4:5" x14ac:dyDescent="0.3">
      <c r="D67" s="123">
        <v>44317</v>
      </c>
      <c r="E67" s="15">
        <v>51937.440000000002</v>
      </c>
    </row>
    <row r="68" spans="4:5" x14ac:dyDescent="0.3">
      <c r="D68" s="123">
        <v>44287</v>
      </c>
      <c r="E68" s="15">
        <v>48782.36</v>
      </c>
    </row>
    <row r="69" spans="4:5" x14ac:dyDescent="0.3">
      <c r="D69" s="123">
        <v>44256</v>
      </c>
      <c r="E69" s="15">
        <v>49509.15</v>
      </c>
    </row>
    <row r="70" spans="4:5" x14ac:dyDescent="0.3">
      <c r="D70" s="123">
        <v>44228</v>
      </c>
      <c r="E70" s="15">
        <v>49099.99</v>
      </c>
    </row>
    <row r="71" spans="4:5" x14ac:dyDescent="0.3">
      <c r="D71" s="123">
        <v>44197</v>
      </c>
      <c r="E71" s="15">
        <v>46285.77</v>
      </c>
    </row>
    <row r="72" spans="4:5" x14ac:dyDescent="0.3">
      <c r="D72" s="123">
        <v>44166</v>
      </c>
      <c r="E72" s="15">
        <v>47751.33</v>
      </c>
    </row>
    <row r="73" spans="4:5" x14ac:dyDescent="0.3">
      <c r="D73" s="123">
        <v>44136</v>
      </c>
      <c r="E73" s="15">
        <v>44149.72</v>
      </c>
    </row>
    <row r="74" spans="4:5" x14ac:dyDescent="0.3">
      <c r="D74" s="123">
        <v>44105</v>
      </c>
      <c r="E74" s="15">
        <v>39614.07</v>
      </c>
    </row>
    <row r="75" spans="4:5" x14ac:dyDescent="0.3">
      <c r="D75" s="123">
        <v>44075</v>
      </c>
      <c r="E75" s="15">
        <v>38067.93</v>
      </c>
    </row>
    <row r="76" spans="4:5" x14ac:dyDescent="0.3">
      <c r="D76" s="123">
        <v>44044</v>
      </c>
      <c r="E76" s="15">
        <v>38628.29</v>
      </c>
    </row>
    <row r="77" spans="4:5" x14ac:dyDescent="0.3">
      <c r="D77" s="123">
        <v>44013</v>
      </c>
      <c r="E77" s="15">
        <v>37606.89</v>
      </c>
    </row>
    <row r="78" spans="4:5" x14ac:dyDescent="0.3">
      <c r="D78" s="123">
        <v>43983</v>
      </c>
      <c r="E78" s="15">
        <v>34915.800000000003</v>
      </c>
    </row>
    <row r="79" spans="4:5" x14ac:dyDescent="0.3">
      <c r="D79" s="123">
        <v>43952</v>
      </c>
      <c r="E79" s="15">
        <v>32424.1</v>
      </c>
    </row>
    <row r="80" spans="4:5" x14ac:dyDescent="0.3">
      <c r="D80" s="123">
        <v>43922</v>
      </c>
      <c r="E80" s="15">
        <v>33717.620000000003</v>
      </c>
    </row>
    <row r="81" spans="4:5" x14ac:dyDescent="0.3">
      <c r="D81" s="123">
        <v>43891</v>
      </c>
      <c r="E81" s="15">
        <v>29468.49</v>
      </c>
    </row>
    <row r="82" spans="4:5" x14ac:dyDescent="0.3">
      <c r="D82" s="123">
        <v>43862</v>
      </c>
      <c r="E82" s="15">
        <v>38297.29</v>
      </c>
    </row>
    <row r="83" spans="4:5" x14ac:dyDescent="0.3">
      <c r="D83" s="123">
        <v>43831</v>
      </c>
      <c r="E83" s="15">
        <v>40723.49</v>
      </c>
    </row>
    <row r="84" spans="4:5" x14ac:dyDescent="0.3">
      <c r="D84" s="123">
        <v>43800</v>
      </c>
      <c r="E84" s="15">
        <v>41253.74</v>
      </c>
    </row>
    <row r="85" spans="4:5" x14ac:dyDescent="0.3">
      <c r="D85" s="123">
        <v>43770</v>
      </c>
      <c r="E85" s="15">
        <v>40793.81</v>
      </c>
    </row>
    <row r="86" spans="4:5" x14ac:dyDescent="0.3">
      <c r="D86" s="123">
        <v>43739</v>
      </c>
      <c r="E86" s="15">
        <v>40129.050000000003</v>
      </c>
    </row>
    <row r="87" spans="4:5" x14ac:dyDescent="0.3">
      <c r="D87" s="123">
        <v>43709</v>
      </c>
      <c r="E87" s="15">
        <v>38667.33</v>
      </c>
    </row>
    <row r="88" spans="4:5" x14ac:dyDescent="0.3">
      <c r="D88" s="123">
        <v>43678</v>
      </c>
      <c r="E88" s="15">
        <v>37332.79</v>
      </c>
    </row>
    <row r="89" spans="4:5" x14ac:dyDescent="0.3">
      <c r="D89" s="123">
        <v>43647</v>
      </c>
      <c r="E89" s="15">
        <v>37481.120000000003</v>
      </c>
    </row>
    <row r="90" spans="4:5" x14ac:dyDescent="0.3">
      <c r="D90" s="123">
        <v>43617</v>
      </c>
      <c r="E90" s="15">
        <v>39394.639999999999</v>
      </c>
    </row>
    <row r="91" spans="4:5" x14ac:dyDescent="0.3">
      <c r="D91" s="123">
        <v>43586</v>
      </c>
      <c r="E91" s="15">
        <v>39714.199999999997</v>
      </c>
    </row>
    <row r="92" spans="4:5" x14ac:dyDescent="0.3">
      <c r="D92" s="123">
        <v>43556</v>
      </c>
      <c r="E92" s="15">
        <v>39031.550000000003</v>
      </c>
    </row>
    <row r="93" spans="4:5" x14ac:dyDescent="0.3">
      <c r="D93" s="123">
        <v>43525</v>
      </c>
      <c r="E93" s="15">
        <v>38672.910000000003</v>
      </c>
    </row>
    <row r="94" spans="4:5" x14ac:dyDescent="0.3">
      <c r="D94" s="123">
        <v>43497</v>
      </c>
      <c r="E94" s="15">
        <v>35867.440000000002</v>
      </c>
    </row>
    <row r="95" spans="4:5" x14ac:dyDescent="0.3">
      <c r="D95" s="123">
        <v>43466</v>
      </c>
      <c r="E95" s="15">
        <v>36256.69</v>
      </c>
    </row>
    <row r="96" spans="4:5" x14ac:dyDescent="0.3">
      <c r="D96" s="123">
        <v>43435</v>
      </c>
      <c r="E96" s="15">
        <v>36068.33</v>
      </c>
    </row>
    <row r="97" spans="4:5" x14ac:dyDescent="0.3">
      <c r="D97" s="123">
        <v>43405</v>
      </c>
      <c r="E97" s="15">
        <v>36194.300000000003</v>
      </c>
    </row>
    <row r="98" spans="4:5" x14ac:dyDescent="0.3">
      <c r="D98" s="123">
        <v>43374</v>
      </c>
      <c r="E98" s="15">
        <v>34442.050000000003</v>
      </c>
    </row>
    <row r="99" spans="4:5" x14ac:dyDescent="0.3">
      <c r="D99" s="123">
        <v>43344</v>
      </c>
      <c r="E99" s="15">
        <v>36227.14</v>
      </c>
    </row>
    <row r="100" spans="4:5" x14ac:dyDescent="0.3">
      <c r="D100" s="123">
        <v>43313</v>
      </c>
      <c r="E100" s="15">
        <v>38645.07</v>
      </c>
    </row>
    <row r="101" spans="4:5" x14ac:dyDescent="0.3">
      <c r="D101" s="123">
        <v>43282</v>
      </c>
      <c r="E101" s="15">
        <v>37606.58</v>
      </c>
    </row>
    <row r="102" spans="4:5" x14ac:dyDescent="0.3">
      <c r="D102" s="123">
        <v>43252</v>
      </c>
      <c r="E102" s="15">
        <v>35423.480000000003</v>
      </c>
    </row>
    <row r="103" spans="4:5" x14ac:dyDescent="0.3">
      <c r="D103" s="123">
        <v>43221</v>
      </c>
      <c r="E103" s="15">
        <v>35322.379999999997</v>
      </c>
    </row>
    <row r="104" spans="4:5" x14ac:dyDescent="0.3">
      <c r="D104" s="123">
        <v>43191</v>
      </c>
      <c r="E104" s="15">
        <v>35160.36</v>
      </c>
    </row>
    <row r="105" spans="4:5" x14ac:dyDescent="0.3">
      <c r="D105" s="123">
        <v>43160</v>
      </c>
      <c r="E105" s="15">
        <v>32968.68</v>
      </c>
    </row>
    <row r="106" spans="4:5" x14ac:dyDescent="0.3">
      <c r="D106" s="123">
        <v>43132</v>
      </c>
      <c r="E106" s="15">
        <v>34184.04</v>
      </c>
    </row>
    <row r="107" spans="4:5" x14ac:dyDescent="0.3">
      <c r="D107" s="123">
        <v>43101</v>
      </c>
      <c r="E107" s="15">
        <v>35965.019999999997</v>
      </c>
    </row>
    <row r="108" spans="4:5" x14ac:dyDescent="0.3">
      <c r="D108" s="123">
        <v>43070</v>
      </c>
      <c r="E108" s="15">
        <v>34056.83</v>
      </c>
    </row>
    <row r="109" spans="4:5" x14ac:dyDescent="0.3">
      <c r="D109" s="123">
        <v>43040</v>
      </c>
      <c r="E109" s="15">
        <v>33149.35</v>
      </c>
    </row>
    <row r="110" spans="4:5" x14ac:dyDescent="0.3">
      <c r="D110" s="123">
        <v>43009</v>
      </c>
      <c r="E110" s="15">
        <v>33213.129999999997</v>
      </c>
    </row>
    <row r="111" spans="4:5" x14ac:dyDescent="0.3">
      <c r="D111" s="123">
        <v>42979</v>
      </c>
      <c r="E111" s="15">
        <v>31283.72</v>
      </c>
    </row>
    <row r="112" spans="4:5" x14ac:dyDescent="0.3">
      <c r="D112" s="123">
        <v>42948</v>
      </c>
      <c r="E112" s="15">
        <v>31730.49</v>
      </c>
    </row>
    <row r="113" spans="4:5" x14ac:dyDescent="0.3">
      <c r="D113" s="123">
        <v>42917</v>
      </c>
      <c r="E113" s="15">
        <v>32514.94</v>
      </c>
    </row>
    <row r="114" spans="4:5" x14ac:dyDescent="0.3">
      <c r="D114" s="123">
        <v>42887</v>
      </c>
      <c r="E114" s="15">
        <v>30921.61</v>
      </c>
    </row>
    <row r="115" spans="4:5" x14ac:dyDescent="0.3">
      <c r="D115" s="123">
        <v>42856</v>
      </c>
      <c r="E115" s="15">
        <v>31145.8</v>
      </c>
    </row>
    <row r="116" spans="4:5" x14ac:dyDescent="0.3">
      <c r="D116" s="123">
        <v>42826</v>
      </c>
      <c r="E116" s="15">
        <v>29918.400000000001</v>
      </c>
    </row>
    <row r="117" spans="4:5" x14ac:dyDescent="0.3">
      <c r="D117" s="123">
        <v>42795</v>
      </c>
      <c r="E117" s="15">
        <v>29620.5</v>
      </c>
    </row>
    <row r="118" spans="4:5" x14ac:dyDescent="0.3">
      <c r="D118" s="123">
        <v>42767</v>
      </c>
      <c r="E118" s="15">
        <v>28743.32</v>
      </c>
    </row>
    <row r="119" spans="4:5" x14ac:dyDescent="0.3">
      <c r="D119" s="123">
        <v>42736</v>
      </c>
      <c r="E119" s="15">
        <v>27655.96</v>
      </c>
    </row>
    <row r="120" spans="4:5" x14ac:dyDescent="0.3">
      <c r="D120" s="123">
        <v>42705</v>
      </c>
      <c r="E120" s="15">
        <v>26626.46</v>
      </c>
    </row>
    <row r="121" spans="4:5" x14ac:dyDescent="0.3">
      <c r="D121" s="123">
        <v>42675</v>
      </c>
      <c r="E121" s="15">
        <v>26652.81</v>
      </c>
    </row>
    <row r="122" spans="4:5" x14ac:dyDescent="0.3">
      <c r="D122" s="123">
        <v>42644</v>
      </c>
      <c r="E122" s="15">
        <v>27930.21</v>
      </c>
    </row>
    <row r="123" spans="4:5" x14ac:dyDescent="0.3">
      <c r="D123" s="123">
        <v>42614</v>
      </c>
      <c r="E123" s="15">
        <v>27865.96</v>
      </c>
    </row>
    <row r="124" spans="4:5" x14ac:dyDescent="0.3">
      <c r="D124" s="123">
        <v>42583</v>
      </c>
      <c r="E124" s="15">
        <v>28452.17</v>
      </c>
    </row>
    <row r="125" spans="4:5" x14ac:dyDescent="0.3">
      <c r="D125" s="123">
        <v>42552</v>
      </c>
      <c r="E125" s="15">
        <v>28051.86</v>
      </c>
    </row>
    <row r="126" spans="4:5" x14ac:dyDescent="0.3">
      <c r="D126" s="123">
        <v>42522</v>
      </c>
      <c r="E126" s="15">
        <v>26999.72</v>
      </c>
    </row>
    <row r="127" spans="4:5" x14ac:dyDescent="0.3">
      <c r="D127" s="123">
        <v>42491</v>
      </c>
      <c r="E127" s="15">
        <v>26667.96</v>
      </c>
    </row>
    <row r="128" spans="4:5" x14ac:dyDescent="0.3">
      <c r="D128" s="123">
        <v>42461</v>
      </c>
      <c r="E128" s="15">
        <v>25606.62</v>
      </c>
    </row>
    <row r="129" spans="4:5" x14ac:dyDescent="0.3">
      <c r="D129" s="123">
        <v>42430</v>
      </c>
      <c r="E129" s="15">
        <v>25341.86</v>
      </c>
    </row>
    <row r="130" spans="4:5" x14ac:dyDescent="0.3">
      <c r="D130" s="123">
        <v>42401</v>
      </c>
      <c r="E130" s="15">
        <v>23002</v>
      </c>
    </row>
    <row r="131" spans="4:5" x14ac:dyDescent="0.3">
      <c r="D131" s="123">
        <v>42370</v>
      </c>
      <c r="E131" s="15">
        <v>24870.69</v>
      </c>
    </row>
    <row r="132" spans="4:5" x14ac:dyDescent="0.3">
      <c r="D132" s="123">
        <v>42339</v>
      </c>
      <c r="E132" s="15">
        <v>26117.54</v>
      </c>
    </row>
    <row r="133" spans="4:5" x14ac:dyDescent="0.3">
      <c r="D133" s="123">
        <v>42309</v>
      </c>
      <c r="E133" s="15">
        <v>26145.67</v>
      </c>
    </row>
    <row r="134" spans="4:5" x14ac:dyDescent="0.3">
      <c r="D134" s="123">
        <v>42278</v>
      </c>
      <c r="E134" s="15">
        <v>26656.83</v>
      </c>
    </row>
    <row r="135" spans="4:5" x14ac:dyDescent="0.3">
      <c r="D135" s="123">
        <v>42248</v>
      </c>
      <c r="E135" s="15">
        <v>26154.83</v>
      </c>
    </row>
    <row r="136" spans="4:5" x14ac:dyDescent="0.3">
      <c r="D136" s="123">
        <v>42217</v>
      </c>
      <c r="E136" s="15">
        <v>26283.09</v>
      </c>
    </row>
    <row r="137" spans="4:5" x14ac:dyDescent="0.3">
      <c r="D137" s="123">
        <v>42186</v>
      </c>
      <c r="E137" s="15">
        <v>28114.560000000001</v>
      </c>
    </row>
    <row r="138" spans="4:5" x14ac:dyDescent="0.3">
      <c r="D138" s="123">
        <v>42156</v>
      </c>
      <c r="E138" s="15">
        <v>27780.83</v>
      </c>
    </row>
    <row r="139" spans="4:5" x14ac:dyDescent="0.3">
      <c r="D139" s="123">
        <v>42125</v>
      </c>
      <c r="E139" s="15">
        <v>27828.44</v>
      </c>
    </row>
    <row r="140" spans="4:5" x14ac:dyDescent="0.3">
      <c r="D140" s="123">
        <v>42095</v>
      </c>
      <c r="E140" s="15">
        <v>27011.31</v>
      </c>
    </row>
    <row r="141" spans="4:5" x14ac:dyDescent="0.3">
      <c r="D141" s="123">
        <v>42064</v>
      </c>
      <c r="E141" s="15">
        <v>27957.49</v>
      </c>
    </row>
    <row r="142" spans="4:5" x14ac:dyDescent="0.3">
      <c r="D142" s="123">
        <v>42036</v>
      </c>
      <c r="E142" s="15">
        <v>29361.5</v>
      </c>
    </row>
    <row r="143" spans="4:5" x14ac:dyDescent="0.3">
      <c r="D143" s="123">
        <v>42005</v>
      </c>
      <c r="E143" s="15">
        <v>29182.95</v>
      </c>
    </row>
    <row r="144" spans="4:5" x14ac:dyDescent="0.3">
      <c r="D144" s="123"/>
      <c r="E144" s="15"/>
    </row>
    <row r="145" spans="4:5" x14ac:dyDescent="0.3">
      <c r="D145" s="123"/>
      <c r="E145" s="15"/>
    </row>
    <row r="146" spans="4:5" x14ac:dyDescent="0.3">
      <c r="D146" s="123"/>
      <c r="E146" s="15"/>
    </row>
    <row r="147" spans="4:5" x14ac:dyDescent="0.3">
      <c r="D147" s="123"/>
      <c r="E147" s="15"/>
    </row>
    <row r="148" spans="4:5" x14ac:dyDescent="0.3">
      <c r="D148" s="123"/>
      <c r="E148" s="15"/>
    </row>
    <row r="149" spans="4:5" x14ac:dyDescent="0.3">
      <c r="D149" s="123"/>
      <c r="E149" s="15"/>
    </row>
    <row r="150" spans="4:5" x14ac:dyDescent="0.3">
      <c r="D150" s="123"/>
      <c r="E150" s="15"/>
    </row>
    <row r="151" spans="4:5" x14ac:dyDescent="0.3">
      <c r="D151" s="123"/>
      <c r="E151" s="15"/>
    </row>
    <row r="152" spans="4:5" x14ac:dyDescent="0.3">
      <c r="D152" s="123"/>
      <c r="E152" s="15"/>
    </row>
    <row r="153" spans="4:5" x14ac:dyDescent="0.3">
      <c r="D153" s="123"/>
      <c r="E153" s="15"/>
    </row>
    <row r="154" spans="4:5" x14ac:dyDescent="0.3">
      <c r="D154" s="123"/>
      <c r="E154" s="15"/>
    </row>
    <row r="155" spans="4:5" x14ac:dyDescent="0.3">
      <c r="D155" s="123"/>
      <c r="E155" s="15"/>
    </row>
    <row r="156" spans="4:5" x14ac:dyDescent="0.3">
      <c r="D156" s="123"/>
      <c r="E156" s="15"/>
    </row>
    <row r="157" spans="4:5" x14ac:dyDescent="0.3">
      <c r="D157" s="123"/>
      <c r="E157" s="15"/>
    </row>
    <row r="158" spans="4:5" x14ac:dyDescent="0.3">
      <c r="D158" s="123"/>
      <c r="E158" s="15"/>
    </row>
    <row r="159" spans="4:5" x14ac:dyDescent="0.3">
      <c r="D159" s="123"/>
      <c r="E159" s="15"/>
    </row>
    <row r="160" spans="4:5" x14ac:dyDescent="0.3">
      <c r="D160" s="123"/>
      <c r="E160" s="15"/>
    </row>
    <row r="161" spans="4:5" x14ac:dyDescent="0.3">
      <c r="D161" s="123"/>
      <c r="E161" s="15"/>
    </row>
    <row r="162" spans="4:5" x14ac:dyDescent="0.3">
      <c r="D162" s="123"/>
      <c r="E162" s="15"/>
    </row>
    <row r="163" spans="4:5" x14ac:dyDescent="0.3">
      <c r="D163" s="123"/>
      <c r="E163" s="15"/>
    </row>
    <row r="164" spans="4:5" x14ac:dyDescent="0.3">
      <c r="D164" s="123"/>
      <c r="E164" s="15"/>
    </row>
    <row r="165" spans="4:5" x14ac:dyDescent="0.3">
      <c r="D165" s="123"/>
      <c r="E165" s="15"/>
    </row>
    <row r="166" spans="4:5" x14ac:dyDescent="0.3">
      <c r="D166" s="123"/>
      <c r="E166" s="15"/>
    </row>
    <row r="167" spans="4:5" x14ac:dyDescent="0.3">
      <c r="D167" s="123"/>
      <c r="E167" s="15"/>
    </row>
    <row r="168" spans="4:5" x14ac:dyDescent="0.3">
      <c r="D168" s="123"/>
      <c r="E168" s="15"/>
    </row>
    <row r="169" spans="4:5" x14ac:dyDescent="0.3">
      <c r="D169" s="123"/>
      <c r="E169" s="15"/>
    </row>
    <row r="170" spans="4:5" x14ac:dyDescent="0.3">
      <c r="D170" s="123"/>
      <c r="E170" s="15"/>
    </row>
    <row r="171" spans="4:5" x14ac:dyDescent="0.3">
      <c r="D171" s="123"/>
      <c r="E171" s="15"/>
    </row>
    <row r="172" spans="4:5" x14ac:dyDescent="0.3">
      <c r="D172" s="123"/>
      <c r="E172" s="15"/>
    </row>
    <row r="173" spans="4:5" x14ac:dyDescent="0.3">
      <c r="D173" s="123"/>
      <c r="E173" s="15"/>
    </row>
    <row r="174" spans="4:5" x14ac:dyDescent="0.3">
      <c r="D174" s="123"/>
      <c r="E174" s="15"/>
    </row>
    <row r="175" spans="4:5" x14ac:dyDescent="0.3">
      <c r="D175" s="123"/>
      <c r="E175" s="15"/>
    </row>
    <row r="176" spans="4:5" x14ac:dyDescent="0.3">
      <c r="D176" s="123"/>
      <c r="E176" s="15"/>
    </row>
    <row r="177" spans="4:5" x14ac:dyDescent="0.3">
      <c r="D177" s="123"/>
      <c r="E177" s="15"/>
    </row>
    <row r="178" spans="4:5" x14ac:dyDescent="0.3">
      <c r="D178" s="123"/>
      <c r="E178" s="15"/>
    </row>
    <row r="179" spans="4:5" x14ac:dyDescent="0.3">
      <c r="D179" s="123"/>
      <c r="E179" s="15"/>
    </row>
    <row r="180" spans="4:5" x14ac:dyDescent="0.3">
      <c r="D180" s="123"/>
      <c r="E180" s="15"/>
    </row>
    <row r="181" spans="4:5" x14ac:dyDescent="0.3">
      <c r="D181" s="123"/>
      <c r="E181" s="15"/>
    </row>
    <row r="182" spans="4:5" x14ac:dyDescent="0.3">
      <c r="D182" s="123"/>
      <c r="E182" s="15"/>
    </row>
    <row r="183" spans="4:5" x14ac:dyDescent="0.3">
      <c r="D183" s="123"/>
      <c r="E183" s="15"/>
    </row>
    <row r="184" spans="4:5" x14ac:dyDescent="0.3">
      <c r="D184" s="123"/>
      <c r="E184" s="15"/>
    </row>
    <row r="185" spans="4:5" x14ac:dyDescent="0.3">
      <c r="D185" s="123"/>
      <c r="E185" s="15"/>
    </row>
    <row r="186" spans="4:5" x14ac:dyDescent="0.3">
      <c r="D186" s="123"/>
      <c r="E186" s="15"/>
    </row>
    <row r="187" spans="4:5" x14ac:dyDescent="0.3">
      <c r="D187" s="123"/>
      <c r="E187" s="15"/>
    </row>
    <row r="188" spans="4:5" x14ac:dyDescent="0.3">
      <c r="D188" s="123"/>
      <c r="E188" s="15"/>
    </row>
    <row r="189" spans="4:5" x14ac:dyDescent="0.3">
      <c r="D189" s="123"/>
      <c r="E189" s="15"/>
    </row>
    <row r="190" spans="4:5" x14ac:dyDescent="0.3">
      <c r="D190" s="123"/>
      <c r="E190" s="15"/>
    </row>
    <row r="191" spans="4:5" x14ac:dyDescent="0.3">
      <c r="D191" s="123"/>
      <c r="E191" s="15"/>
    </row>
    <row r="192" spans="4:5" x14ac:dyDescent="0.3">
      <c r="D192" s="123"/>
      <c r="E192" s="15"/>
    </row>
    <row r="193" spans="4:5" x14ac:dyDescent="0.3">
      <c r="D193" s="123"/>
      <c r="E193" s="15"/>
    </row>
    <row r="194" spans="4:5" x14ac:dyDescent="0.3">
      <c r="D194" s="123"/>
      <c r="E194" s="15"/>
    </row>
    <row r="195" spans="4:5" x14ac:dyDescent="0.3">
      <c r="D195" s="123"/>
      <c r="E195" s="15"/>
    </row>
    <row r="196" spans="4:5" x14ac:dyDescent="0.3">
      <c r="D196" s="123"/>
      <c r="E196" s="15"/>
    </row>
    <row r="197" spans="4:5" x14ac:dyDescent="0.3">
      <c r="D197" s="123"/>
      <c r="E197" s="15"/>
    </row>
    <row r="198" spans="4:5" x14ac:dyDescent="0.3">
      <c r="D198" s="123"/>
      <c r="E198" s="15"/>
    </row>
    <row r="199" spans="4:5" x14ac:dyDescent="0.3">
      <c r="D199" s="123"/>
      <c r="E199" s="15"/>
    </row>
    <row r="200" spans="4:5" x14ac:dyDescent="0.3">
      <c r="D200" s="123"/>
      <c r="E200" s="15"/>
    </row>
    <row r="201" spans="4:5" x14ac:dyDescent="0.3">
      <c r="D201" s="123"/>
      <c r="E201" s="15"/>
    </row>
    <row r="202" spans="4:5" x14ac:dyDescent="0.3">
      <c r="D202" s="123"/>
      <c r="E202" s="15"/>
    </row>
    <row r="203" spans="4:5" x14ac:dyDescent="0.3">
      <c r="D203" s="123"/>
      <c r="E203" s="15"/>
    </row>
    <row r="204" spans="4:5" x14ac:dyDescent="0.3">
      <c r="D204" s="123"/>
      <c r="E204" s="15"/>
    </row>
    <row r="205" spans="4:5" x14ac:dyDescent="0.3">
      <c r="D205" s="123"/>
      <c r="E205" s="15"/>
    </row>
    <row r="206" spans="4:5" x14ac:dyDescent="0.3">
      <c r="D206" s="123"/>
      <c r="E206" s="15"/>
    </row>
    <row r="207" spans="4:5" x14ac:dyDescent="0.3">
      <c r="D207" s="123"/>
      <c r="E207" s="15"/>
    </row>
    <row r="208" spans="4:5" x14ac:dyDescent="0.3">
      <c r="D208" s="123"/>
      <c r="E208" s="15"/>
    </row>
    <row r="209" spans="4:5" x14ac:dyDescent="0.3">
      <c r="D209" s="123"/>
      <c r="E209" s="15"/>
    </row>
    <row r="210" spans="4:5" x14ac:dyDescent="0.3">
      <c r="D210" s="123"/>
      <c r="E210" s="15"/>
    </row>
    <row r="211" spans="4:5" x14ac:dyDescent="0.3">
      <c r="D211" s="123"/>
      <c r="E211" s="15"/>
    </row>
    <row r="212" spans="4:5" x14ac:dyDescent="0.3">
      <c r="D212" s="123"/>
      <c r="E212" s="15"/>
    </row>
    <row r="213" spans="4:5" x14ac:dyDescent="0.3">
      <c r="D213" s="123"/>
      <c r="E213" s="15"/>
    </row>
    <row r="214" spans="4:5" x14ac:dyDescent="0.3">
      <c r="D214" s="123"/>
      <c r="E214" s="15"/>
    </row>
    <row r="215" spans="4:5" x14ac:dyDescent="0.3">
      <c r="D215" s="123"/>
      <c r="E215" s="15"/>
    </row>
    <row r="216" spans="4:5" x14ac:dyDescent="0.3">
      <c r="D216" s="123"/>
      <c r="E216" s="15"/>
    </row>
    <row r="217" spans="4:5" x14ac:dyDescent="0.3">
      <c r="D217" s="123"/>
      <c r="E217" s="15"/>
    </row>
    <row r="218" spans="4:5" x14ac:dyDescent="0.3">
      <c r="D218" s="123"/>
      <c r="E218" s="15"/>
    </row>
    <row r="219" spans="4:5" x14ac:dyDescent="0.3">
      <c r="D219" s="123"/>
      <c r="E219" s="15"/>
    </row>
    <row r="220" spans="4:5" x14ac:dyDescent="0.3">
      <c r="D220" s="123"/>
      <c r="E220" s="15"/>
    </row>
    <row r="221" spans="4:5" x14ac:dyDescent="0.3">
      <c r="D221" s="123"/>
      <c r="E221" s="15"/>
    </row>
    <row r="222" spans="4:5" x14ac:dyDescent="0.3">
      <c r="D222" s="123"/>
      <c r="E222" s="15"/>
    </row>
    <row r="223" spans="4:5" x14ac:dyDescent="0.3">
      <c r="D223" s="123"/>
      <c r="E223" s="15"/>
    </row>
    <row r="224" spans="4:5" x14ac:dyDescent="0.3">
      <c r="D224" s="123"/>
      <c r="E224" s="15"/>
    </row>
    <row r="225" spans="4:5" x14ac:dyDescent="0.3">
      <c r="D225" s="123"/>
      <c r="E225" s="15"/>
    </row>
    <row r="226" spans="4:5" x14ac:dyDescent="0.3">
      <c r="D226" s="123"/>
      <c r="E226" s="15"/>
    </row>
    <row r="227" spans="4:5" x14ac:dyDescent="0.3">
      <c r="D227" s="123"/>
      <c r="E227" s="15"/>
    </row>
    <row r="228" spans="4:5" x14ac:dyDescent="0.3">
      <c r="D228" s="123"/>
      <c r="E228" s="15"/>
    </row>
    <row r="229" spans="4:5" x14ac:dyDescent="0.3">
      <c r="D229" s="123"/>
      <c r="E229" s="15"/>
    </row>
    <row r="230" spans="4:5" x14ac:dyDescent="0.3">
      <c r="D230" s="123"/>
      <c r="E230" s="15"/>
    </row>
    <row r="231" spans="4:5" x14ac:dyDescent="0.3">
      <c r="D231" s="123"/>
      <c r="E231" s="15"/>
    </row>
    <row r="232" spans="4:5" x14ac:dyDescent="0.3">
      <c r="D232" s="123"/>
      <c r="E232" s="15"/>
    </row>
    <row r="233" spans="4:5" x14ac:dyDescent="0.3">
      <c r="D233" s="123"/>
      <c r="E233" s="15"/>
    </row>
    <row r="234" spans="4:5" x14ac:dyDescent="0.3">
      <c r="D234" s="123"/>
      <c r="E234" s="15"/>
    </row>
    <row r="235" spans="4:5" x14ac:dyDescent="0.3">
      <c r="D235" s="123"/>
      <c r="E235" s="15"/>
    </row>
    <row r="236" spans="4:5" x14ac:dyDescent="0.3">
      <c r="D236" s="123"/>
      <c r="E236" s="15"/>
    </row>
    <row r="237" spans="4:5" x14ac:dyDescent="0.3">
      <c r="D237" s="123"/>
      <c r="E237" s="15"/>
    </row>
    <row r="238" spans="4:5" x14ac:dyDescent="0.3">
      <c r="D238" s="123"/>
      <c r="E238" s="15"/>
    </row>
    <row r="239" spans="4:5" x14ac:dyDescent="0.3">
      <c r="D239" s="123"/>
      <c r="E239" s="15"/>
    </row>
    <row r="240" spans="4:5" x14ac:dyDescent="0.3">
      <c r="D240" s="123"/>
      <c r="E240" s="15"/>
    </row>
    <row r="241" spans="4:5" x14ac:dyDescent="0.3">
      <c r="D241" s="123"/>
      <c r="E241" s="15"/>
    </row>
    <row r="242" spans="4:5" x14ac:dyDescent="0.3">
      <c r="D242" s="123"/>
      <c r="E242" s="15"/>
    </row>
    <row r="243" spans="4:5" x14ac:dyDescent="0.3">
      <c r="D243" s="123"/>
      <c r="E243" s="15"/>
    </row>
    <row r="244" spans="4:5" x14ac:dyDescent="0.3">
      <c r="D244" s="123"/>
      <c r="E244" s="15"/>
    </row>
    <row r="245" spans="4:5" x14ac:dyDescent="0.3">
      <c r="D245" s="123"/>
      <c r="E245" s="15"/>
    </row>
    <row r="246" spans="4:5" x14ac:dyDescent="0.3">
      <c r="D246" s="123"/>
      <c r="E246" s="15"/>
    </row>
    <row r="247" spans="4:5" x14ac:dyDescent="0.3">
      <c r="D247" s="123"/>
      <c r="E247" s="15"/>
    </row>
    <row r="248" spans="4:5" x14ac:dyDescent="0.3">
      <c r="D248" s="123"/>
      <c r="E248" s="15"/>
    </row>
    <row r="249" spans="4:5" x14ac:dyDescent="0.3">
      <c r="D249" s="123"/>
      <c r="E249" s="15"/>
    </row>
    <row r="250" spans="4:5" x14ac:dyDescent="0.3">
      <c r="D250" s="123"/>
      <c r="E250" s="15"/>
    </row>
    <row r="251" spans="4:5" x14ac:dyDescent="0.3">
      <c r="D251" s="123"/>
      <c r="E251" s="15"/>
    </row>
    <row r="252" spans="4:5" x14ac:dyDescent="0.3">
      <c r="D252" s="123"/>
      <c r="E252" s="15"/>
    </row>
    <row r="253" spans="4:5" x14ac:dyDescent="0.3">
      <c r="D253" s="123"/>
      <c r="E253" s="15"/>
    </row>
    <row r="254" spans="4:5" x14ac:dyDescent="0.3">
      <c r="D254" s="123"/>
      <c r="E254" s="15"/>
    </row>
    <row r="255" spans="4:5" x14ac:dyDescent="0.3">
      <c r="D255" s="123"/>
      <c r="E255" s="15"/>
    </row>
    <row r="256" spans="4:5" x14ac:dyDescent="0.3">
      <c r="D256" s="123"/>
      <c r="E256" s="15"/>
    </row>
    <row r="257" spans="4:5" x14ac:dyDescent="0.3">
      <c r="D257" s="123"/>
      <c r="E257" s="15"/>
    </row>
    <row r="258" spans="4:5" x14ac:dyDescent="0.3">
      <c r="D258" s="123"/>
      <c r="E258" s="15"/>
    </row>
    <row r="259" spans="4:5" x14ac:dyDescent="0.3">
      <c r="D259" s="123"/>
      <c r="E259" s="15"/>
    </row>
    <row r="260" spans="4:5" x14ac:dyDescent="0.3">
      <c r="D260" s="123"/>
      <c r="E260" s="15"/>
    </row>
    <row r="261" spans="4:5" x14ac:dyDescent="0.3">
      <c r="D261" s="123"/>
      <c r="E261" s="15"/>
    </row>
    <row r="262" spans="4:5" x14ac:dyDescent="0.3">
      <c r="D262" s="123"/>
      <c r="E262" s="15"/>
    </row>
    <row r="263" spans="4:5" x14ac:dyDescent="0.3">
      <c r="D263" s="123"/>
      <c r="E263" s="15"/>
    </row>
    <row r="264" spans="4:5" x14ac:dyDescent="0.3">
      <c r="D264" s="123"/>
      <c r="E264" s="15"/>
    </row>
    <row r="265" spans="4:5" x14ac:dyDescent="0.3">
      <c r="D265" s="123"/>
      <c r="E265" s="15"/>
    </row>
    <row r="266" spans="4:5" x14ac:dyDescent="0.3">
      <c r="D266" s="123"/>
      <c r="E266" s="15"/>
    </row>
    <row r="267" spans="4:5" x14ac:dyDescent="0.3">
      <c r="D267" s="123"/>
      <c r="E267" s="15"/>
    </row>
    <row r="268" spans="4:5" x14ac:dyDescent="0.3">
      <c r="D268" s="123"/>
      <c r="E268" s="15"/>
    </row>
    <row r="269" spans="4:5" x14ac:dyDescent="0.3">
      <c r="D269" s="123"/>
      <c r="E269" s="15"/>
    </row>
    <row r="270" spans="4:5" x14ac:dyDescent="0.3">
      <c r="D270" s="123"/>
      <c r="E270" s="15"/>
    </row>
    <row r="271" spans="4:5" x14ac:dyDescent="0.3">
      <c r="D271" s="123"/>
      <c r="E271" s="15"/>
    </row>
    <row r="272" spans="4:5" x14ac:dyDescent="0.3">
      <c r="D272" s="123"/>
      <c r="E272" s="15"/>
    </row>
    <row r="273" spans="4:5" x14ac:dyDescent="0.3">
      <c r="D273" s="123"/>
      <c r="E273" s="15"/>
    </row>
    <row r="274" spans="4:5" x14ac:dyDescent="0.3">
      <c r="D274" s="123"/>
      <c r="E274" s="15"/>
    </row>
    <row r="275" spans="4:5" x14ac:dyDescent="0.3">
      <c r="D275" s="123"/>
      <c r="E275" s="15"/>
    </row>
    <row r="276" spans="4:5" x14ac:dyDescent="0.3">
      <c r="D276" s="123"/>
      <c r="E276" s="15"/>
    </row>
    <row r="277" spans="4:5" x14ac:dyDescent="0.3">
      <c r="D277" s="123"/>
      <c r="E277" s="15"/>
    </row>
    <row r="278" spans="4:5" x14ac:dyDescent="0.3">
      <c r="D278" s="123"/>
      <c r="E278" s="15"/>
    </row>
    <row r="279" spans="4:5" x14ac:dyDescent="0.3">
      <c r="D279" s="123"/>
      <c r="E279" s="15"/>
    </row>
    <row r="280" spans="4:5" x14ac:dyDescent="0.3">
      <c r="D280" s="123"/>
      <c r="E280" s="15"/>
    </row>
    <row r="281" spans="4:5" x14ac:dyDescent="0.3">
      <c r="D281" s="123"/>
      <c r="E281" s="15"/>
    </row>
    <row r="282" spans="4:5" x14ac:dyDescent="0.3">
      <c r="D282" s="123"/>
      <c r="E282" s="15"/>
    </row>
    <row r="283" spans="4:5" x14ac:dyDescent="0.3">
      <c r="D283" s="123"/>
      <c r="E283" s="15"/>
    </row>
    <row r="284" spans="4:5" x14ac:dyDescent="0.3">
      <c r="D284" s="123"/>
      <c r="E284" s="15"/>
    </row>
    <row r="285" spans="4:5" x14ac:dyDescent="0.3">
      <c r="D285" s="123"/>
      <c r="E285" s="15"/>
    </row>
    <row r="286" spans="4:5" x14ac:dyDescent="0.3">
      <c r="D286" s="123"/>
      <c r="E286" s="15"/>
    </row>
    <row r="287" spans="4:5" x14ac:dyDescent="0.3">
      <c r="D287" s="123"/>
      <c r="E287" s="15"/>
    </row>
    <row r="288" spans="4:5" x14ac:dyDescent="0.3">
      <c r="D288" s="123"/>
      <c r="E288" s="15"/>
    </row>
    <row r="289" spans="4:5" x14ac:dyDescent="0.3">
      <c r="D289" s="123"/>
      <c r="E289" s="15"/>
    </row>
    <row r="290" spans="4:5" x14ac:dyDescent="0.3">
      <c r="D290" s="123"/>
      <c r="E290" s="15"/>
    </row>
    <row r="291" spans="4:5" x14ac:dyDescent="0.3">
      <c r="D291" s="123"/>
      <c r="E291" s="15"/>
    </row>
    <row r="292" spans="4:5" x14ac:dyDescent="0.3">
      <c r="D292" s="123"/>
      <c r="E292" s="15"/>
    </row>
    <row r="293" spans="4:5" x14ac:dyDescent="0.3">
      <c r="D293" s="123"/>
      <c r="E293" s="15"/>
    </row>
    <row r="294" spans="4:5" x14ac:dyDescent="0.3">
      <c r="D294" s="123"/>
      <c r="E294" s="15"/>
    </row>
    <row r="295" spans="4:5" x14ac:dyDescent="0.3">
      <c r="D295" s="123"/>
      <c r="E295" s="15"/>
    </row>
    <row r="296" spans="4:5" x14ac:dyDescent="0.3">
      <c r="D296" s="123"/>
      <c r="E296" s="15"/>
    </row>
    <row r="297" spans="4:5" x14ac:dyDescent="0.3">
      <c r="D297" s="123"/>
      <c r="E297" s="15"/>
    </row>
    <row r="298" spans="4:5" x14ac:dyDescent="0.3">
      <c r="D298" s="123"/>
      <c r="E298" s="15"/>
    </row>
    <row r="299" spans="4:5" x14ac:dyDescent="0.3">
      <c r="D299" s="123"/>
      <c r="E299" s="15"/>
    </row>
    <row r="300" spans="4:5" x14ac:dyDescent="0.3">
      <c r="D300" s="123"/>
      <c r="E300" s="15"/>
    </row>
    <row r="301" spans="4:5" x14ac:dyDescent="0.3">
      <c r="D301" s="123"/>
      <c r="E301" s="15"/>
    </row>
    <row r="302" spans="4:5" x14ac:dyDescent="0.3">
      <c r="D302" s="123"/>
      <c r="E302" s="15"/>
    </row>
    <row r="303" spans="4:5" x14ac:dyDescent="0.3">
      <c r="D303" s="123"/>
      <c r="E303" s="15"/>
    </row>
    <row r="304" spans="4:5" x14ac:dyDescent="0.3">
      <c r="D304" s="123"/>
      <c r="E304" s="15"/>
    </row>
    <row r="305" spans="4:5" x14ac:dyDescent="0.3">
      <c r="D305" s="123"/>
      <c r="E305" s="15"/>
    </row>
    <row r="306" spans="4:5" x14ac:dyDescent="0.3">
      <c r="D306" s="123"/>
      <c r="E306" s="15"/>
    </row>
    <row r="307" spans="4:5" x14ac:dyDescent="0.3">
      <c r="D307" s="123"/>
      <c r="E307" s="15"/>
    </row>
    <row r="308" spans="4:5" x14ac:dyDescent="0.3">
      <c r="D308" s="123"/>
      <c r="E308" s="15"/>
    </row>
    <row r="309" spans="4:5" x14ac:dyDescent="0.3">
      <c r="D309" s="123"/>
      <c r="E309" s="15"/>
    </row>
    <row r="310" spans="4:5" x14ac:dyDescent="0.3">
      <c r="D310" s="123"/>
      <c r="E310" s="15"/>
    </row>
    <row r="311" spans="4:5" x14ac:dyDescent="0.3">
      <c r="D311" s="123"/>
      <c r="E311" s="15"/>
    </row>
    <row r="312" spans="4:5" x14ac:dyDescent="0.3">
      <c r="D312" s="123"/>
      <c r="E312" s="15"/>
    </row>
    <row r="313" spans="4:5" x14ac:dyDescent="0.3">
      <c r="D313" s="123"/>
      <c r="E313" s="15"/>
    </row>
    <row r="314" spans="4:5" x14ac:dyDescent="0.3">
      <c r="D314" s="123"/>
      <c r="E314" s="15"/>
    </row>
    <row r="315" spans="4:5" x14ac:dyDescent="0.3">
      <c r="D315" s="123"/>
      <c r="E315" s="15"/>
    </row>
    <row r="316" spans="4:5" x14ac:dyDescent="0.3">
      <c r="D316" s="123"/>
      <c r="E316" s="15"/>
    </row>
    <row r="317" spans="4:5" x14ac:dyDescent="0.3">
      <c r="D317" s="123"/>
      <c r="E317" s="15"/>
    </row>
    <row r="318" spans="4:5" x14ac:dyDescent="0.3">
      <c r="D318" s="123"/>
      <c r="E318" s="15"/>
    </row>
    <row r="319" spans="4:5" x14ac:dyDescent="0.3">
      <c r="D319" s="123"/>
      <c r="E319" s="15"/>
    </row>
    <row r="320" spans="4:5" x14ac:dyDescent="0.3">
      <c r="D320" s="123"/>
      <c r="E320" s="15"/>
    </row>
    <row r="321" spans="4:5" x14ac:dyDescent="0.3">
      <c r="D321" s="123"/>
      <c r="E321" s="15"/>
    </row>
    <row r="322" spans="4:5" x14ac:dyDescent="0.3">
      <c r="D322" s="123"/>
      <c r="E322" s="15"/>
    </row>
    <row r="323" spans="4:5" x14ac:dyDescent="0.3">
      <c r="D323" s="123"/>
      <c r="E323" s="15"/>
    </row>
    <row r="324" spans="4:5" x14ac:dyDescent="0.3">
      <c r="D324" s="123"/>
      <c r="E324" s="15"/>
    </row>
    <row r="325" spans="4:5" x14ac:dyDescent="0.3">
      <c r="D325" s="123"/>
      <c r="E325" s="15"/>
    </row>
    <row r="326" spans="4:5" x14ac:dyDescent="0.3">
      <c r="D326" s="123"/>
      <c r="E326" s="15"/>
    </row>
    <row r="327" spans="4:5" x14ac:dyDescent="0.3">
      <c r="D327" s="123"/>
      <c r="E327" s="15"/>
    </row>
    <row r="328" spans="4:5" x14ac:dyDescent="0.3">
      <c r="D328" s="123"/>
      <c r="E328" s="15"/>
    </row>
    <row r="329" spans="4:5" x14ac:dyDescent="0.3">
      <c r="D329" s="123"/>
      <c r="E329" s="15"/>
    </row>
    <row r="330" spans="4:5" x14ac:dyDescent="0.3">
      <c r="D330" s="123"/>
      <c r="E330" s="15"/>
    </row>
    <row r="331" spans="4:5" x14ac:dyDescent="0.3">
      <c r="D331" s="123"/>
      <c r="E331" s="15"/>
    </row>
    <row r="332" spans="4:5" x14ac:dyDescent="0.3">
      <c r="D332" s="123"/>
      <c r="E332" s="15"/>
    </row>
    <row r="333" spans="4:5" x14ac:dyDescent="0.3">
      <c r="D333" s="123"/>
      <c r="E333" s="15"/>
    </row>
    <row r="334" spans="4:5" x14ac:dyDescent="0.3">
      <c r="D334" s="123"/>
      <c r="E334" s="15"/>
    </row>
    <row r="335" spans="4:5" x14ac:dyDescent="0.3">
      <c r="D335" s="123"/>
      <c r="E335" s="15"/>
    </row>
    <row r="336" spans="4:5" x14ac:dyDescent="0.3">
      <c r="D336" s="123"/>
      <c r="E336" s="15"/>
    </row>
    <row r="337" spans="4:5" x14ac:dyDescent="0.3">
      <c r="D337" s="123"/>
      <c r="E337" s="15"/>
    </row>
    <row r="338" spans="4:5" x14ac:dyDescent="0.3">
      <c r="D338" s="123"/>
      <c r="E338" s="15"/>
    </row>
    <row r="339" spans="4:5" x14ac:dyDescent="0.3">
      <c r="D339" s="123"/>
      <c r="E339" s="15"/>
    </row>
    <row r="340" spans="4:5" x14ac:dyDescent="0.3">
      <c r="D340" s="123"/>
      <c r="E340" s="15"/>
    </row>
    <row r="341" spans="4:5" x14ac:dyDescent="0.3">
      <c r="D341" s="123"/>
      <c r="E341" s="15"/>
    </row>
    <row r="342" spans="4:5" x14ac:dyDescent="0.3">
      <c r="D342" s="123"/>
      <c r="E342" s="15"/>
    </row>
    <row r="343" spans="4:5" x14ac:dyDescent="0.3">
      <c r="D343" s="123"/>
      <c r="E343" s="15"/>
    </row>
    <row r="344" spans="4:5" x14ac:dyDescent="0.3">
      <c r="D344" s="123"/>
      <c r="E344" s="15"/>
    </row>
    <row r="345" spans="4:5" x14ac:dyDescent="0.3">
      <c r="D345" s="123"/>
      <c r="E345" s="15"/>
    </row>
    <row r="346" spans="4:5" x14ac:dyDescent="0.3">
      <c r="D346" s="123"/>
      <c r="E346" s="15"/>
    </row>
    <row r="347" spans="4:5" x14ac:dyDescent="0.3">
      <c r="D347" s="123"/>
      <c r="E347" s="15"/>
    </row>
    <row r="348" spans="4:5" x14ac:dyDescent="0.3">
      <c r="D348" s="123"/>
      <c r="E348" s="15"/>
    </row>
    <row r="349" spans="4:5" x14ac:dyDescent="0.3">
      <c r="D349" s="123"/>
      <c r="E349" s="15"/>
    </row>
    <row r="350" spans="4:5" x14ac:dyDescent="0.3">
      <c r="D350" s="123"/>
      <c r="E350" s="15"/>
    </row>
    <row r="351" spans="4:5" x14ac:dyDescent="0.3">
      <c r="D351" s="123"/>
      <c r="E351" s="15"/>
    </row>
    <row r="352" spans="4:5" x14ac:dyDescent="0.3">
      <c r="D352" s="123"/>
      <c r="E352" s="15"/>
    </row>
    <row r="353" spans="4:5" x14ac:dyDescent="0.3">
      <c r="D353" s="123"/>
      <c r="E353" s="15"/>
    </row>
    <row r="354" spans="4:5" x14ac:dyDescent="0.3">
      <c r="D354" s="123"/>
      <c r="E354" s="15"/>
    </row>
    <row r="355" spans="4:5" x14ac:dyDescent="0.3">
      <c r="D355" s="123"/>
      <c r="E355" s="15"/>
    </row>
    <row r="356" spans="4:5" x14ac:dyDescent="0.3">
      <c r="D356" s="123"/>
      <c r="E356" s="15"/>
    </row>
    <row r="357" spans="4:5" x14ac:dyDescent="0.3">
      <c r="D357" s="123"/>
      <c r="E357" s="15"/>
    </row>
    <row r="358" spans="4:5" x14ac:dyDescent="0.3">
      <c r="D358" s="123"/>
      <c r="E358" s="15"/>
    </row>
    <row r="359" spans="4:5" x14ac:dyDescent="0.3">
      <c r="D359" s="123"/>
      <c r="E359" s="15"/>
    </row>
    <row r="360" spans="4:5" x14ac:dyDescent="0.3">
      <c r="D360" s="123"/>
      <c r="E360" s="15"/>
    </row>
    <row r="361" spans="4:5" x14ac:dyDescent="0.3">
      <c r="D361" s="123"/>
      <c r="E361" s="15"/>
    </row>
    <row r="362" spans="4:5" x14ac:dyDescent="0.3">
      <c r="D362" s="123"/>
      <c r="E362" s="15"/>
    </row>
    <row r="363" spans="4:5" x14ac:dyDescent="0.3">
      <c r="D363" s="123"/>
      <c r="E363" s="15"/>
    </row>
    <row r="364" spans="4:5" x14ac:dyDescent="0.3">
      <c r="D364" s="123"/>
      <c r="E364" s="15"/>
    </row>
    <row r="365" spans="4:5" x14ac:dyDescent="0.3">
      <c r="D365" s="123"/>
      <c r="E365" s="15"/>
    </row>
    <row r="366" spans="4:5" x14ac:dyDescent="0.3">
      <c r="D366" s="123"/>
      <c r="E366" s="15"/>
    </row>
    <row r="367" spans="4:5" x14ac:dyDescent="0.3">
      <c r="D367" s="123"/>
      <c r="E367" s="15"/>
    </row>
    <row r="368" spans="4:5" x14ac:dyDescent="0.3">
      <c r="D368" s="123"/>
      <c r="E368" s="15"/>
    </row>
    <row r="369" spans="4:5" x14ac:dyDescent="0.3">
      <c r="D369" s="123"/>
      <c r="E369" s="15"/>
    </row>
    <row r="370" spans="4:5" x14ac:dyDescent="0.3">
      <c r="D370" s="123"/>
      <c r="E370" s="15"/>
    </row>
    <row r="371" spans="4:5" x14ac:dyDescent="0.3">
      <c r="D371" s="123"/>
      <c r="E371" s="15"/>
    </row>
    <row r="372" spans="4:5" x14ac:dyDescent="0.3">
      <c r="D372" s="123"/>
      <c r="E372" s="15"/>
    </row>
    <row r="373" spans="4:5" x14ac:dyDescent="0.3">
      <c r="D373" s="123"/>
      <c r="E373" s="15"/>
    </row>
    <row r="374" spans="4:5" x14ac:dyDescent="0.3">
      <c r="D374" s="123"/>
      <c r="E374" s="15"/>
    </row>
    <row r="375" spans="4:5" x14ac:dyDescent="0.3">
      <c r="D375" s="123"/>
      <c r="E375" s="15"/>
    </row>
    <row r="376" spans="4:5" x14ac:dyDescent="0.3">
      <c r="D376" s="123"/>
      <c r="E376" s="15"/>
    </row>
    <row r="377" spans="4:5" x14ac:dyDescent="0.3">
      <c r="D377" s="123"/>
      <c r="E377" s="15"/>
    </row>
    <row r="378" spans="4:5" x14ac:dyDescent="0.3">
      <c r="D378" s="123"/>
      <c r="E378" s="15"/>
    </row>
    <row r="379" spans="4:5" x14ac:dyDescent="0.3">
      <c r="D379" s="123"/>
      <c r="E379" s="15"/>
    </row>
    <row r="380" spans="4:5" x14ac:dyDescent="0.3">
      <c r="D380" s="123"/>
      <c r="E380" s="15"/>
    </row>
    <row r="381" spans="4:5" x14ac:dyDescent="0.3">
      <c r="D381" s="123"/>
      <c r="E381" s="15"/>
    </row>
    <row r="382" spans="4:5" x14ac:dyDescent="0.3">
      <c r="D382" s="123"/>
      <c r="E382" s="15"/>
    </row>
    <row r="383" spans="4:5" x14ac:dyDescent="0.3">
      <c r="D383" s="123"/>
      <c r="E383" s="15"/>
    </row>
    <row r="384" spans="4:5" x14ac:dyDescent="0.3">
      <c r="D384" s="123"/>
      <c r="E384" s="15"/>
    </row>
    <row r="385" spans="4:5" x14ac:dyDescent="0.3">
      <c r="D385" s="123"/>
      <c r="E385" s="15"/>
    </row>
    <row r="386" spans="4:5" x14ac:dyDescent="0.3">
      <c r="D386" s="123"/>
      <c r="E386" s="15"/>
    </row>
    <row r="387" spans="4:5" x14ac:dyDescent="0.3">
      <c r="D387" s="123"/>
      <c r="E387" s="15"/>
    </row>
    <row r="388" spans="4:5" x14ac:dyDescent="0.3">
      <c r="D388" s="123"/>
      <c r="E388" s="15"/>
    </row>
    <row r="389" spans="4:5" x14ac:dyDescent="0.3">
      <c r="D389" s="123"/>
      <c r="E389" s="15"/>
    </row>
    <row r="390" spans="4:5" x14ac:dyDescent="0.3">
      <c r="D390" s="123"/>
      <c r="E390" s="15"/>
    </row>
    <row r="391" spans="4:5" x14ac:dyDescent="0.3">
      <c r="D391" s="123"/>
      <c r="E391" s="15"/>
    </row>
    <row r="392" spans="4:5" x14ac:dyDescent="0.3">
      <c r="D392" s="123"/>
      <c r="E392" s="15"/>
    </row>
    <row r="393" spans="4:5" x14ac:dyDescent="0.3">
      <c r="D393" s="123"/>
      <c r="E393" s="15"/>
    </row>
    <row r="394" spans="4:5" x14ac:dyDescent="0.3">
      <c r="D394" s="123"/>
      <c r="E394" s="15"/>
    </row>
    <row r="395" spans="4:5" x14ac:dyDescent="0.3">
      <c r="D395" s="123"/>
      <c r="E395" s="15"/>
    </row>
    <row r="396" spans="4:5" x14ac:dyDescent="0.3">
      <c r="D396" s="123"/>
      <c r="E396" s="15"/>
    </row>
    <row r="397" spans="4:5" x14ac:dyDescent="0.3">
      <c r="D397" s="123"/>
      <c r="E397" s="15"/>
    </row>
    <row r="398" spans="4:5" x14ac:dyDescent="0.3">
      <c r="D398" s="123"/>
      <c r="E398" s="15"/>
    </row>
    <row r="399" spans="4:5" x14ac:dyDescent="0.3">
      <c r="D399" s="123"/>
      <c r="E399" s="15"/>
    </row>
    <row r="400" spans="4:5" x14ac:dyDescent="0.3">
      <c r="D400" s="123"/>
      <c r="E400" s="15"/>
    </row>
    <row r="401" spans="4:5" x14ac:dyDescent="0.3">
      <c r="D401" s="123"/>
      <c r="E401" s="15"/>
    </row>
    <row r="402" spans="4:5" x14ac:dyDescent="0.3">
      <c r="D402" s="123"/>
      <c r="E402" s="15"/>
    </row>
    <row r="403" spans="4:5" x14ac:dyDescent="0.3">
      <c r="D403" s="123"/>
      <c r="E403" s="15"/>
    </row>
    <row r="404" spans="4:5" x14ac:dyDescent="0.3">
      <c r="D404" s="123"/>
      <c r="E404" s="15"/>
    </row>
    <row r="405" spans="4:5" x14ac:dyDescent="0.3">
      <c r="D405" s="123"/>
      <c r="E405" s="15"/>
    </row>
    <row r="406" spans="4:5" x14ac:dyDescent="0.3">
      <c r="D406" s="123"/>
      <c r="E406" s="15"/>
    </row>
    <row r="407" spans="4:5" x14ac:dyDescent="0.3">
      <c r="D407" s="123"/>
      <c r="E407" s="15"/>
    </row>
    <row r="408" spans="4:5" x14ac:dyDescent="0.3">
      <c r="D408" s="123"/>
      <c r="E408" s="15"/>
    </row>
    <row r="409" spans="4:5" x14ac:dyDescent="0.3">
      <c r="D409" s="123"/>
      <c r="E409" s="15"/>
    </row>
    <row r="410" spans="4:5" x14ac:dyDescent="0.3">
      <c r="D410" s="123"/>
      <c r="E410" s="15"/>
    </row>
    <row r="411" spans="4:5" x14ac:dyDescent="0.3">
      <c r="D411" s="123"/>
      <c r="E411" s="15"/>
    </row>
    <row r="412" spans="4:5" x14ac:dyDescent="0.3">
      <c r="D412" s="123"/>
      <c r="E412" s="15"/>
    </row>
    <row r="413" spans="4:5" x14ac:dyDescent="0.3">
      <c r="D413" s="123"/>
      <c r="E413" s="15"/>
    </row>
    <row r="414" spans="4:5" x14ac:dyDescent="0.3">
      <c r="D414" s="123"/>
      <c r="E414" s="15"/>
    </row>
    <row r="415" spans="4:5" x14ac:dyDescent="0.3">
      <c r="D415" s="123"/>
      <c r="E415" s="15"/>
    </row>
    <row r="416" spans="4:5" x14ac:dyDescent="0.3">
      <c r="D416" s="123"/>
      <c r="E416" s="15"/>
    </row>
    <row r="417" spans="4:5" x14ac:dyDescent="0.3">
      <c r="D417" s="123"/>
      <c r="E417" s="15"/>
    </row>
    <row r="418" spans="4:5" x14ac:dyDescent="0.3">
      <c r="D418" s="123"/>
      <c r="E418" s="15"/>
    </row>
    <row r="419" spans="4:5" x14ac:dyDescent="0.3">
      <c r="D419" s="123"/>
      <c r="E419" s="15"/>
    </row>
    <row r="420" spans="4:5" x14ac:dyDescent="0.3">
      <c r="D420" s="123"/>
      <c r="E420" s="15"/>
    </row>
    <row r="421" spans="4:5" x14ac:dyDescent="0.3">
      <c r="D421" s="123"/>
      <c r="E421" s="15"/>
    </row>
    <row r="422" spans="4:5" x14ac:dyDescent="0.3">
      <c r="D422" s="123"/>
      <c r="E422" s="15"/>
    </row>
    <row r="423" spans="4:5" x14ac:dyDescent="0.3">
      <c r="D423" s="123"/>
      <c r="E423" s="15"/>
    </row>
    <row r="424" spans="4:5" x14ac:dyDescent="0.3">
      <c r="D424" s="123"/>
      <c r="E424" s="15"/>
    </row>
    <row r="425" spans="4:5" x14ac:dyDescent="0.3">
      <c r="D425" s="123"/>
      <c r="E425" s="15"/>
    </row>
    <row r="426" spans="4:5" x14ac:dyDescent="0.3">
      <c r="D426" s="123"/>
      <c r="E426" s="15"/>
    </row>
    <row r="427" spans="4:5" x14ac:dyDescent="0.3">
      <c r="D427" s="123"/>
      <c r="E427" s="15"/>
    </row>
    <row r="428" spans="4:5" x14ac:dyDescent="0.3">
      <c r="D428" s="123"/>
      <c r="E428" s="15"/>
    </row>
    <row r="429" spans="4:5" x14ac:dyDescent="0.3">
      <c r="D429" s="123"/>
      <c r="E429" s="15"/>
    </row>
    <row r="430" spans="4:5" x14ac:dyDescent="0.3">
      <c r="D430" s="123"/>
      <c r="E430" s="15"/>
    </row>
    <row r="431" spans="4:5" x14ac:dyDescent="0.3">
      <c r="D431" s="123"/>
      <c r="E431" s="15"/>
    </row>
    <row r="432" spans="4:5" x14ac:dyDescent="0.3">
      <c r="D432" s="123"/>
      <c r="E432" s="15"/>
    </row>
    <row r="433" spans="4:5" x14ac:dyDescent="0.3">
      <c r="D433" s="123"/>
      <c r="E433" s="15"/>
    </row>
    <row r="434" spans="4:5" x14ac:dyDescent="0.3">
      <c r="D434" s="123"/>
      <c r="E434" s="15"/>
    </row>
    <row r="435" spans="4:5" x14ac:dyDescent="0.3">
      <c r="D435" s="123"/>
      <c r="E435" s="15"/>
    </row>
    <row r="436" spans="4:5" x14ac:dyDescent="0.3">
      <c r="D436" s="123"/>
      <c r="E436" s="15"/>
    </row>
    <row r="437" spans="4:5" x14ac:dyDescent="0.3">
      <c r="D437" s="123"/>
      <c r="E437" s="15"/>
    </row>
    <row r="438" spans="4:5" x14ac:dyDescent="0.3">
      <c r="D438" s="123"/>
      <c r="E438" s="15"/>
    </row>
    <row r="439" spans="4:5" x14ac:dyDescent="0.3">
      <c r="D439" s="123"/>
      <c r="E439" s="15"/>
    </row>
    <row r="440" spans="4:5" x14ac:dyDescent="0.3">
      <c r="D440" s="123"/>
      <c r="E440" s="15"/>
    </row>
    <row r="441" spans="4:5" x14ac:dyDescent="0.3">
      <c r="D441" s="123"/>
      <c r="E441" s="15"/>
    </row>
    <row r="442" spans="4:5" x14ac:dyDescent="0.3">
      <c r="D442" s="123"/>
      <c r="E442" s="15"/>
    </row>
    <row r="443" spans="4:5" x14ac:dyDescent="0.3">
      <c r="D443" s="123"/>
      <c r="E443" s="15"/>
    </row>
    <row r="444" spans="4:5" x14ac:dyDescent="0.3">
      <c r="D444" s="123"/>
      <c r="E444" s="15"/>
    </row>
    <row r="445" spans="4:5" x14ac:dyDescent="0.3">
      <c r="D445" s="123"/>
      <c r="E445" s="15"/>
    </row>
    <row r="446" spans="4:5" x14ac:dyDescent="0.3">
      <c r="D446" s="123"/>
      <c r="E446" s="15"/>
    </row>
    <row r="447" spans="4:5" x14ac:dyDescent="0.3">
      <c r="D447" s="123"/>
      <c r="E447" s="15"/>
    </row>
    <row r="448" spans="4:5" x14ac:dyDescent="0.3">
      <c r="D448" s="123"/>
      <c r="E448" s="15"/>
    </row>
    <row r="449" spans="4:5" x14ac:dyDescent="0.3">
      <c r="D449" s="123"/>
      <c r="E449" s="15"/>
    </row>
    <row r="450" spans="4:5" x14ac:dyDescent="0.3">
      <c r="D450" s="123"/>
      <c r="E450" s="15"/>
    </row>
    <row r="451" spans="4:5" x14ac:dyDescent="0.3">
      <c r="D451" s="123"/>
      <c r="E451" s="15"/>
    </row>
    <row r="452" spans="4:5" x14ac:dyDescent="0.3">
      <c r="D452" s="123"/>
      <c r="E452" s="15"/>
    </row>
    <row r="453" spans="4:5" x14ac:dyDescent="0.3">
      <c r="D453" s="123"/>
      <c r="E453" s="15"/>
    </row>
    <row r="454" spans="4:5" x14ac:dyDescent="0.3">
      <c r="D454" s="123"/>
      <c r="E454" s="15"/>
    </row>
    <row r="455" spans="4:5" x14ac:dyDescent="0.3">
      <c r="D455" s="123"/>
      <c r="E455" s="15"/>
    </row>
    <row r="456" spans="4:5" x14ac:dyDescent="0.3">
      <c r="D456" s="123"/>
      <c r="E456" s="15"/>
    </row>
    <row r="457" spans="4:5" x14ac:dyDescent="0.3">
      <c r="D457" s="123"/>
      <c r="E457" s="15"/>
    </row>
    <row r="458" spans="4:5" x14ac:dyDescent="0.3">
      <c r="D458" s="123"/>
      <c r="E458" s="15"/>
    </row>
    <row r="459" spans="4:5" x14ac:dyDescent="0.3">
      <c r="D459" s="123"/>
      <c r="E459" s="15"/>
    </row>
    <row r="460" spans="4:5" x14ac:dyDescent="0.3">
      <c r="D460" s="123"/>
      <c r="E460" s="15"/>
    </row>
    <row r="461" spans="4:5" x14ac:dyDescent="0.3">
      <c r="D461" s="123"/>
      <c r="E461" s="15"/>
    </row>
    <row r="462" spans="4:5" x14ac:dyDescent="0.3">
      <c r="D462" s="123"/>
      <c r="E462" s="15"/>
    </row>
    <row r="463" spans="4:5" x14ac:dyDescent="0.3">
      <c r="D463" s="123"/>
      <c r="E463" s="15"/>
    </row>
    <row r="464" spans="4:5" x14ac:dyDescent="0.3">
      <c r="D464" s="123"/>
      <c r="E464" s="15"/>
    </row>
    <row r="465" spans="4:5" x14ac:dyDescent="0.3">
      <c r="D465" s="123"/>
      <c r="E465" s="15"/>
    </row>
    <row r="466" spans="4:5" x14ac:dyDescent="0.3">
      <c r="D466" s="123"/>
      <c r="E466" s="15"/>
    </row>
    <row r="467" spans="4:5" x14ac:dyDescent="0.3">
      <c r="D467" s="123"/>
      <c r="E467" s="15"/>
    </row>
    <row r="468" spans="4:5" x14ac:dyDescent="0.3">
      <c r="D468" s="123"/>
      <c r="E468" s="15"/>
    </row>
    <row r="469" spans="4:5" x14ac:dyDescent="0.3">
      <c r="D469" s="123"/>
      <c r="E469" s="15"/>
    </row>
    <row r="470" spans="4:5" x14ac:dyDescent="0.3">
      <c r="D470" s="123"/>
      <c r="E470" s="15"/>
    </row>
    <row r="471" spans="4:5" x14ac:dyDescent="0.3">
      <c r="D471" s="123"/>
      <c r="E471" s="15"/>
    </row>
    <row r="472" spans="4:5" x14ac:dyDescent="0.3">
      <c r="D472" s="123"/>
      <c r="E472" s="15"/>
    </row>
    <row r="473" spans="4:5" x14ac:dyDescent="0.3">
      <c r="D473" s="123"/>
      <c r="E473" s="15"/>
    </row>
    <row r="474" spans="4:5" x14ac:dyDescent="0.3">
      <c r="D474" s="123"/>
      <c r="E474" s="15"/>
    </row>
    <row r="475" spans="4:5" x14ac:dyDescent="0.3">
      <c r="D475" s="123"/>
      <c r="E475" s="15"/>
    </row>
    <row r="476" spans="4:5" x14ac:dyDescent="0.3">
      <c r="D476" s="123"/>
      <c r="E476" s="15"/>
    </row>
    <row r="477" spans="4:5" x14ac:dyDescent="0.3">
      <c r="D477" s="123"/>
      <c r="E477" s="15"/>
    </row>
    <row r="478" spans="4:5" x14ac:dyDescent="0.3">
      <c r="D478" s="123"/>
      <c r="E478" s="15"/>
    </row>
    <row r="479" spans="4:5" x14ac:dyDescent="0.3">
      <c r="D479" s="123"/>
      <c r="E479" s="15"/>
    </row>
    <row r="480" spans="4:5" x14ac:dyDescent="0.3">
      <c r="D480" s="123"/>
      <c r="E480" s="15"/>
    </row>
    <row r="481" spans="4:5" x14ac:dyDescent="0.3">
      <c r="D481" s="123"/>
      <c r="E481" s="15"/>
    </row>
    <row r="482" spans="4:5" x14ac:dyDescent="0.3">
      <c r="D482" s="123"/>
      <c r="E482" s="15"/>
    </row>
    <row r="483" spans="4:5" x14ac:dyDescent="0.3">
      <c r="D483" s="123"/>
      <c r="E483" s="15"/>
    </row>
    <row r="484" spans="4:5" x14ac:dyDescent="0.3">
      <c r="D484" s="123"/>
      <c r="E484" s="15"/>
    </row>
    <row r="485" spans="4:5" x14ac:dyDescent="0.3">
      <c r="D485" s="123"/>
      <c r="E485" s="15"/>
    </row>
    <row r="486" spans="4:5" x14ac:dyDescent="0.3">
      <c r="D486" s="123"/>
      <c r="E486" s="15"/>
    </row>
    <row r="487" spans="4:5" x14ac:dyDescent="0.3">
      <c r="D487" s="123"/>
      <c r="E487" s="15"/>
    </row>
    <row r="488" spans="4:5" x14ac:dyDescent="0.3">
      <c r="D488" s="123"/>
      <c r="E488" s="15"/>
    </row>
    <row r="489" spans="4:5" x14ac:dyDescent="0.3">
      <c r="D489" s="123"/>
      <c r="E489" s="15"/>
    </row>
    <row r="490" spans="4:5" x14ac:dyDescent="0.3">
      <c r="D490" s="123"/>
      <c r="E490" s="15"/>
    </row>
    <row r="491" spans="4:5" x14ac:dyDescent="0.3">
      <c r="D491" s="123"/>
      <c r="E491" s="15"/>
    </row>
    <row r="492" spans="4:5" x14ac:dyDescent="0.3">
      <c r="D492" s="123"/>
      <c r="E492" s="15"/>
    </row>
    <row r="493" spans="4:5" x14ac:dyDescent="0.3">
      <c r="D493" s="123"/>
      <c r="E493" s="15"/>
    </row>
    <row r="494" spans="4:5" x14ac:dyDescent="0.3">
      <c r="D494" s="123"/>
      <c r="E494" s="15"/>
    </row>
    <row r="495" spans="4:5" x14ac:dyDescent="0.3">
      <c r="D495" s="123"/>
      <c r="E495" s="15"/>
    </row>
    <row r="496" spans="4:5" x14ac:dyDescent="0.3">
      <c r="D496" s="123"/>
      <c r="E496" s="15"/>
    </row>
    <row r="497" spans="4:5" x14ac:dyDescent="0.3">
      <c r="D497" s="123"/>
      <c r="E497" s="15"/>
    </row>
    <row r="498" spans="4:5" x14ac:dyDescent="0.3">
      <c r="D498" s="123"/>
      <c r="E498" s="15"/>
    </row>
    <row r="499" spans="4:5" x14ac:dyDescent="0.3">
      <c r="D499" s="123"/>
      <c r="E499" s="15"/>
    </row>
    <row r="500" spans="4:5" x14ac:dyDescent="0.3">
      <c r="D500" s="123"/>
      <c r="E500" s="15"/>
    </row>
    <row r="501" spans="4:5" x14ac:dyDescent="0.3">
      <c r="D501" s="123"/>
      <c r="E501" s="15"/>
    </row>
    <row r="502" spans="4:5" x14ac:dyDescent="0.3">
      <c r="D502" s="123"/>
      <c r="E502" s="15"/>
    </row>
    <row r="503" spans="4:5" x14ac:dyDescent="0.3">
      <c r="D503" s="123"/>
      <c r="E503" s="15"/>
    </row>
    <row r="504" spans="4:5" x14ac:dyDescent="0.3">
      <c r="D504" s="123"/>
      <c r="E504" s="15"/>
    </row>
    <row r="505" spans="4:5" x14ac:dyDescent="0.3">
      <c r="D505" s="123"/>
      <c r="E505" s="15"/>
    </row>
    <row r="506" spans="4:5" x14ac:dyDescent="0.3">
      <c r="D506" s="123"/>
      <c r="E506" s="15"/>
    </row>
    <row r="507" spans="4:5" x14ac:dyDescent="0.3">
      <c r="D507" s="123"/>
      <c r="E507" s="15"/>
    </row>
    <row r="508" spans="4:5" x14ac:dyDescent="0.3">
      <c r="D508" s="123"/>
      <c r="E508" s="15"/>
    </row>
    <row r="509" spans="4:5" x14ac:dyDescent="0.3">
      <c r="D509" s="123"/>
      <c r="E509" s="15"/>
    </row>
    <row r="510" spans="4:5" x14ac:dyDescent="0.3">
      <c r="D510" s="123"/>
      <c r="E510" s="15"/>
    </row>
    <row r="511" spans="4:5" x14ac:dyDescent="0.3">
      <c r="D511" s="123"/>
      <c r="E511" s="15"/>
    </row>
    <row r="512" spans="4:5" x14ac:dyDescent="0.3">
      <c r="D512" s="123"/>
      <c r="E512" s="15"/>
    </row>
    <row r="513" spans="4:5" x14ac:dyDescent="0.3">
      <c r="D513" s="123"/>
      <c r="E513" s="15"/>
    </row>
    <row r="514" spans="4:5" x14ac:dyDescent="0.3">
      <c r="D514" s="123"/>
      <c r="E514" s="15"/>
    </row>
    <row r="515" spans="4:5" x14ac:dyDescent="0.3">
      <c r="D515" s="123"/>
      <c r="E515" s="15"/>
    </row>
    <row r="516" spans="4:5" x14ac:dyDescent="0.3">
      <c r="D516" s="123"/>
      <c r="E516" s="15"/>
    </row>
    <row r="517" spans="4:5" x14ac:dyDescent="0.3">
      <c r="D517" s="123"/>
      <c r="E517" s="15"/>
    </row>
    <row r="518" spans="4:5" x14ac:dyDescent="0.3">
      <c r="D518" s="123"/>
      <c r="E518" s="15"/>
    </row>
    <row r="519" spans="4:5" x14ac:dyDescent="0.3">
      <c r="D519" s="123"/>
      <c r="E519" s="15"/>
    </row>
    <row r="520" spans="4:5" x14ac:dyDescent="0.3">
      <c r="D520" s="123"/>
      <c r="E520" s="15"/>
    </row>
    <row r="521" spans="4:5" x14ac:dyDescent="0.3">
      <c r="D521" s="123"/>
      <c r="E521" s="15"/>
    </row>
    <row r="522" spans="4:5" x14ac:dyDescent="0.3">
      <c r="D522" s="123"/>
      <c r="E522" s="15"/>
    </row>
    <row r="523" spans="4:5" x14ac:dyDescent="0.3">
      <c r="D523" s="123"/>
      <c r="E523" s="15"/>
    </row>
    <row r="524" spans="4:5" x14ac:dyDescent="0.3">
      <c r="D524" s="123"/>
      <c r="E524" s="15"/>
    </row>
    <row r="525" spans="4:5" x14ac:dyDescent="0.3">
      <c r="D525" s="123"/>
      <c r="E525" s="15"/>
    </row>
    <row r="526" spans="4:5" x14ac:dyDescent="0.3">
      <c r="D526" s="123"/>
      <c r="E526" s="15"/>
    </row>
    <row r="527" spans="4:5" x14ac:dyDescent="0.3">
      <c r="D527" s="123"/>
      <c r="E527" s="15"/>
    </row>
    <row r="528" spans="4:5" x14ac:dyDescent="0.3">
      <c r="D528" s="123"/>
      <c r="E528" s="15"/>
    </row>
    <row r="529" spans="4:5" x14ac:dyDescent="0.3">
      <c r="D529" s="123"/>
      <c r="E529" s="15"/>
    </row>
    <row r="530" spans="4:5" x14ac:dyDescent="0.3">
      <c r="D530" s="123"/>
      <c r="E530" s="15"/>
    </row>
    <row r="531" spans="4:5" x14ac:dyDescent="0.3">
      <c r="D531" s="123"/>
      <c r="E531" s="15"/>
    </row>
    <row r="532" spans="4:5" x14ac:dyDescent="0.3">
      <c r="D532" s="123"/>
      <c r="E532" s="15"/>
    </row>
    <row r="533" spans="4:5" x14ac:dyDescent="0.3">
      <c r="D533" s="123"/>
      <c r="E533" s="15"/>
    </row>
    <row r="534" spans="4:5" x14ac:dyDescent="0.3">
      <c r="D534" s="123"/>
      <c r="E534" s="15"/>
    </row>
    <row r="535" spans="4:5" x14ac:dyDescent="0.3">
      <c r="D535" s="123"/>
      <c r="E535" s="15"/>
    </row>
    <row r="536" spans="4:5" x14ac:dyDescent="0.3">
      <c r="D536" s="123"/>
      <c r="E536" s="15"/>
    </row>
    <row r="537" spans="4:5" x14ac:dyDescent="0.3">
      <c r="D537" s="123"/>
      <c r="E537" s="15"/>
    </row>
    <row r="538" spans="4:5" x14ac:dyDescent="0.3">
      <c r="D538" s="123"/>
      <c r="E538" s="15"/>
    </row>
    <row r="539" spans="4:5" x14ac:dyDescent="0.3">
      <c r="D539" s="123"/>
      <c r="E539" s="15"/>
    </row>
    <row r="540" spans="4:5" x14ac:dyDescent="0.3">
      <c r="D540" s="123"/>
      <c r="E540" s="15"/>
    </row>
    <row r="541" spans="4:5" x14ac:dyDescent="0.3">
      <c r="D541" s="123"/>
      <c r="E541" s="15"/>
    </row>
    <row r="542" spans="4:5" x14ac:dyDescent="0.3">
      <c r="D542" s="123"/>
      <c r="E542" s="15"/>
    </row>
    <row r="543" spans="4:5" x14ac:dyDescent="0.3">
      <c r="D543" s="123"/>
      <c r="E543" s="15"/>
    </row>
    <row r="544" spans="4:5" x14ac:dyDescent="0.3">
      <c r="D544" s="123"/>
      <c r="E544" s="15"/>
    </row>
    <row r="545" spans="4:5" x14ac:dyDescent="0.3">
      <c r="D545" s="123"/>
      <c r="E545" s="15"/>
    </row>
    <row r="546" spans="4:5" x14ac:dyDescent="0.3">
      <c r="D546" s="123"/>
      <c r="E546" s="15"/>
    </row>
    <row r="547" spans="4:5" x14ac:dyDescent="0.3">
      <c r="D547" s="123"/>
      <c r="E547" s="15"/>
    </row>
    <row r="548" spans="4:5" x14ac:dyDescent="0.3">
      <c r="D548" s="123"/>
      <c r="E548" s="15"/>
    </row>
    <row r="549" spans="4:5" x14ac:dyDescent="0.3">
      <c r="D549" s="123"/>
      <c r="E549" s="15"/>
    </row>
    <row r="550" spans="4:5" x14ac:dyDescent="0.3">
      <c r="D550" s="123"/>
      <c r="E550" s="15"/>
    </row>
    <row r="551" spans="4:5" x14ac:dyDescent="0.3">
      <c r="D551" s="123"/>
      <c r="E551" s="15"/>
    </row>
    <row r="552" spans="4:5" x14ac:dyDescent="0.3">
      <c r="D552" s="123"/>
      <c r="E552" s="15"/>
    </row>
    <row r="553" spans="4:5" x14ac:dyDescent="0.3">
      <c r="D553" s="123"/>
      <c r="E553" s="15"/>
    </row>
    <row r="554" spans="4:5" x14ac:dyDescent="0.3">
      <c r="D554" s="123"/>
      <c r="E554" s="15"/>
    </row>
    <row r="555" spans="4:5" x14ac:dyDescent="0.3">
      <c r="D555" s="123"/>
      <c r="E555" s="15"/>
    </row>
    <row r="556" spans="4:5" x14ac:dyDescent="0.3">
      <c r="D556" s="123"/>
      <c r="E556" s="15"/>
    </row>
    <row r="557" spans="4:5" x14ac:dyDescent="0.3">
      <c r="D557" s="123"/>
      <c r="E557" s="15"/>
    </row>
    <row r="558" spans="4:5" x14ac:dyDescent="0.3">
      <c r="D558" s="123"/>
      <c r="E558" s="15"/>
    </row>
    <row r="559" spans="4:5" x14ac:dyDescent="0.3">
      <c r="D559" s="123"/>
      <c r="E559" s="15"/>
    </row>
    <row r="560" spans="4:5" x14ac:dyDescent="0.3">
      <c r="D560" s="123"/>
      <c r="E560" s="15"/>
    </row>
    <row r="561" spans="4:5" x14ac:dyDescent="0.3">
      <c r="D561" s="123"/>
      <c r="E561" s="15"/>
    </row>
    <row r="562" spans="4:5" x14ac:dyDescent="0.3">
      <c r="D562" s="123"/>
      <c r="E562" s="15"/>
    </row>
    <row r="563" spans="4:5" x14ac:dyDescent="0.3">
      <c r="D563" s="123"/>
      <c r="E563" s="15"/>
    </row>
    <row r="564" spans="4:5" x14ac:dyDescent="0.3">
      <c r="D564" s="123"/>
      <c r="E564" s="15"/>
    </row>
    <row r="565" spans="4:5" x14ac:dyDescent="0.3">
      <c r="D565" s="123"/>
      <c r="E565" s="15"/>
    </row>
    <row r="566" spans="4:5" x14ac:dyDescent="0.3">
      <c r="D566" s="123"/>
      <c r="E566" s="15"/>
    </row>
    <row r="567" spans="4:5" x14ac:dyDescent="0.3">
      <c r="D567" s="123"/>
      <c r="E567" s="15"/>
    </row>
    <row r="568" spans="4:5" x14ac:dyDescent="0.3">
      <c r="D568" s="123"/>
      <c r="E568" s="15"/>
    </row>
    <row r="569" spans="4:5" x14ac:dyDescent="0.3">
      <c r="D569" s="123"/>
      <c r="E569" s="15"/>
    </row>
    <row r="570" spans="4:5" x14ac:dyDescent="0.3">
      <c r="D570" s="123"/>
      <c r="E570" s="15"/>
    </row>
    <row r="571" spans="4:5" x14ac:dyDescent="0.3">
      <c r="D571" s="123"/>
      <c r="E571" s="15"/>
    </row>
    <row r="572" spans="4:5" x14ac:dyDescent="0.3">
      <c r="D572" s="123"/>
      <c r="E572" s="15"/>
    </row>
    <row r="573" spans="4:5" x14ac:dyDescent="0.3">
      <c r="D573" s="123"/>
      <c r="E573" s="15"/>
    </row>
    <row r="574" spans="4:5" x14ac:dyDescent="0.3">
      <c r="D574" s="123"/>
      <c r="E574" s="15"/>
    </row>
    <row r="575" spans="4:5" x14ac:dyDescent="0.3">
      <c r="D575" s="123"/>
      <c r="E575" s="15"/>
    </row>
    <row r="576" spans="4:5" x14ac:dyDescent="0.3">
      <c r="D576" s="123"/>
      <c r="E576" s="15"/>
    </row>
    <row r="577" spans="4:5" x14ac:dyDescent="0.3">
      <c r="D577" s="123"/>
      <c r="E577" s="15"/>
    </row>
    <row r="578" spans="4:5" x14ac:dyDescent="0.3">
      <c r="D578" s="123"/>
      <c r="E578" s="15"/>
    </row>
    <row r="579" spans="4:5" x14ac:dyDescent="0.3">
      <c r="D579" s="123"/>
      <c r="E579" s="15"/>
    </row>
    <row r="580" spans="4:5" x14ac:dyDescent="0.3">
      <c r="D580" s="123"/>
      <c r="E580" s="15"/>
    </row>
    <row r="581" spans="4:5" x14ac:dyDescent="0.3">
      <c r="D581" s="123"/>
      <c r="E581" s="15"/>
    </row>
    <row r="582" spans="4:5" x14ac:dyDescent="0.3">
      <c r="D582" s="123"/>
      <c r="E582" s="15"/>
    </row>
    <row r="583" spans="4:5" x14ac:dyDescent="0.3">
      <c r="D583" s="123"/>
      <c r="E583" s="15"/>
    </row>
    <row r="584" spans="4:5" x14ac:dyDescent="0.3">
      <c r="D584" s="123"/>
      <c r="E584" s="15"/>
    </row>
    <row r="585" spans="4:5" x14ac:dyDescent="0.3">
      <c r="D585" s="123"/>
      <c r="E585" s="15"/>
    </row>
    <row r="586" spans="4:5" x14ac:dyDescent="0.3">
      <c r="D586" s="123"/>
      <c r="E586" s="15"/>
    </row>
    <row r="587" spans="4:5" x14ac:dyDescent="0.3">
      <c r="D587" s="123"/>
      <c r="E587" s="15"/>
    </row>
    <row r="588" spans="4:5" x14ac:dyDescent="0.3">
      <c r="D588" s="123"/>
      <c r="E588" s="15"/>
    </row>
    <row r="589" spans="4:5" x14ac:dyDescent="0.3">
      <c r="D589" s="123"/>
      <c r="E589" s="15"/>
    </row>
    <row r="590" spans="4:5" x14ac:dyDescent="0.3">
      <c r="D590" s="123"/>
      <c r="E590" s="15"/>
    </row>
    <row r="591" spans="4:5" x14ac:dyDescent="0.3">
      <c r="D591" s="123"/>
      <c r="E591" s="15"/>
    </row>
    <row r="592" spans="4:5" x14ac:dyDescent="0.3">
      <c r="D592" s="123"/>
      <c r="E592" s="15"/>
    </row>
    <row r="593" spans="4:5" x14ac:dyDescent="0.3">
      <c r="D593" s="123"/>
      <c r="E593" s="15"/>
    </row>
    <row r="594" spans="4:5" x14ac:dyDescent="0.3">
      <c r="D594" s="123"/>
      <c r="E594" s="15"/>
    </row>
    <row r="595" spans="4:5" x14ac:dyDescent="0.3">
      <c r="D595" s="123"/>
      <c r="E595" s="15"/>
    </row>
    <row r="596" spans="4:5" x14ac:dyDescent="0.3">
      <c r="D596" s="123"/>
      <c r="E596" s="15"/>
    </row>
    <row r="597" spans="4:5" x14ac:dyDescent="0.3">
      <c r="D597" s="123"/>
      <c r="E597" s="15"/>
    </row>
    <row r="598" spans="4:5" x14ac:dyDescent="0.3">
      <c r="D598" s="123"/>
      <c r="E598" s="15"/>
    </row>
    <row r="599" spans="4:5" x14ac:dyDescent="0.3">
      <c r="D599" s="123"/>
      <c r="E599" s="15"/>
    </row>
    <row r="600" spans="4:5" x14ac:dyDescent="0.3">
      <c r="D600" s="123"/>
      <c r="E600" s="15"/>
    </row>
    <row r="601" spans="4:5" x14ac:dyDescent="0.3">
      <c r="D601" s="123"/>
      <c r="E601" s="15"/>
    </row>
    <row r="602" spans="4:5" x14ac:dyDescent="0.3">
      <c r="D602" s="123"/>
      <c r="E602" s="15"/>
    </row>
    <row r="603" spans="4:5" x14ac:dyDescent="0.3">
      <c r="D603" s="123"/>
      <c r="E603" s="15"/>
    </row>
    <row r="604" spans="4:5" x14ac:dyDescent="0.3">
      <c r="D604" s="123"/>
      <c r="E604" s="15"/>
    </row>
    <row r="605" spans="4:5" x14ac:dyDescent="0.3">
      <c r="D605" s="123"/>
      <c r="E605" s="15"/>
    </row>
    <row r="606" spans="4:5" x14ac:dyDescent="0.3">
      <c r="D606" s="123"/>
      <c r="E606" s="15"/>
    </row>
    <row r="607" spans="4:5" x14ac:dyDescent="0.3">
      <c r="D607" s="123"/>
      <c r="E607" s="15"/>
    </row>
    <row r="608" spans="4:5" x14ac:dyDescent="0.3">
      <c r="D608" s="123"/>
      <c r="E608" s="15"/>
    </row>
    <row r="609" spans="4:5" x14ac:dyDescent="0.3">
      <c r="D609" s="123"/>
      <c r="E609" s="15"/>
    </row>
    <row r="610" spans="4:5" x14ac:dyDescent="0.3">
      <c r="D610" s="123"/>
      <c r="E610" s="15"/>
    </row>
    <row r="611" spans="4:5" x14ac:dyDescent="0.3">
      <c r="D611" s="123"/>
      <c r="E611" s="15"/>
    </row>
    <row r="612" spans="4:5" x14ac:dyDescent="0.3">
      <c r="D612" s="123"/>
      <c r="E612" s="15"/>
    </row>
    <row r="613" spans="4:5" x14ac:dyDescent="0.3">
      <c r="D613" s="123"/>
      <c r="E613" s="15"/>
    </row>
    <row r="614" spans="4:5" x14ac:dyDescent="0.3">
      <c r="D614" s="123"/>
      <c r="E614" s="15"/>
    </row>
    <row r="615" spans="4:5" x14ac:dyDescent="0.3">
      <c r="D615" s="123"/>
      <c r="E615" s="15"/>
    </row>
    <row r="616" spans="4:5" x14ac:dyDescent="0.3">
      <c r="D616" s="123"/>
      <c r="E616" s="15"/>
    </row>
    <row r="617" spans="4:5" x14ac:dyDescent="0.3">
      <c r="D617" s="123"/>
      <c r="E617" s="15"/>
    </row>
    <row r="618" spans="4:5" x14ac:dyDescent="0.3">
      <c r="D618" s="123"/>
      <c r="E618" s="15"/>
    </row>
    <row r="619" spans="4:5" x14ac:dyDescent="0.3">
      <c r="D619" s="123"/>
      <c r="E619" s="15"/>
    </row>
    <row r="620" spans="4:5" x14ac:dyDescent="0.3">
      <c r="D620" s="123"/>
      <c r="E620" s="15"/>
    </row>
    <row r="621" spans="4:5" x14ac:dyDescent="0.3">
      <c r="D621" s="123"/>
      <c r="E621" s="15"/>
    </row>
    <row r="622" spans="4:5" x14ac:dyDescent="0.3">
      <c r="D622" s="123"/>
      <c r="E622" s="15"/>
    </row>
    <row r="623" spans="4:5" x14ac:dyDescent="0.3">
      <c r="D623" s="123"/>
      <c r="E623" s="15"/>
    </row>
    <row r="624" spans="4:5" x14ac:dyDescent="0.3">
      <c r="D624" s="123"/>
      <c r="E624" s="15"/>
    </row>
    <row r="625" spans="4:5" x14ac:dyDescent="0.3">
      <c r="D625" s="123"/>
      <c r="E625" s="15"/>
    </row>
    <row r="626" spans="4:5" x14ac:dyDescent="0.3">
      <c r="D626" s="123"/>
      <c r="E626" s="15"/>
    </row>
    <row r="627" spans="4:5" x14ac:dyDescent="0.3">
      <c r="D627" s="123"/>
      <c r="E627" s="15"/>
    </row>
    <row r="628" spans="4:5" x14ac:dyDescent="0.3">
      <c r="D628" s="123"/>
      <c r="E628" s="15"/>
    </row>
    <row r="629" spans="4:5" x14ac:dyDescent="0.3">
      <c r="D629" s="123"/>
      <c r="E629" s="15"/>
    </row>
    <row r="630" spans="4:5" x14ac:dyDescent="0.3">
      <c r="D630" s="123"/>
      <c r="E630" s="15"/>
    </row>
    <row r="631" spans="4:5" x14ac:dyDescent="0.3">
      <c r="D631" s="123"/>
      <c r="E631" s="15"/>
    </row>
    <row r="632" spans="4:5" x14ac:dyDescent="0.3">
      <c r="D632" s="123"/>
      <c r="E632" s="15"/>
    </row>
    <row r="633" spans="4:5" x14ac:dyDescent="0.3">
      <c r="D633" s="123"/>
      <c r="E633" s="15"/>
    </row>
    <row r="634" spans="4:5" x14ac:dyDescent="0.3">
      <c r="D634" s="123"/>
      <c r="E634" s="15"/>
    </row>
    <row r="635" spans="4:5" x14ac:dyDescent="0.3">
      <c r="D635" s="123"/>
      <c r="E635" s="15"/>
    </row>
    <row r="636" spans="4:5" x14ac:dyDescent="0.3">
      <c r="D636" s="123"/>
      <c r="E636" s="15"/>
    </row>
    <row r="637" spans="4:5" x14ac:dyDescent="0.3">
      <c r="D637" s="123"/>
      <c r="E637" s="15"/>
    </row>
    <row r="638" spans="4:5" x14ac:dyDescent="0.3">
      <c r="D638" s="123"/>
      <c r="E638" s="15"/>
    </row>
    <row r="639" spans="4:5" x14ac:dyDescent="0.3">
      <c r="D639" s="123"/>
      <c r="E639" s="15"/>
    </row>
    <row r="640" spans="4:5" x14ac:dyDescent="0.3">
      <c r="D640" s="123"/>
      <c r="E640" s="15"/>
    </row>
    <row r="641" spans="4:5" x14ac:dyDescent="0.3">
      <c r="D641" s="123"/>
      <c r="E641" s="15"/>
    </row>
    <row r="642" spans="4:5" x14ac:dyDescent="0.3">
      <c r="D642" s="123"/>
      <c r="E642" s="15"/>
    </row>
    <row r="643" spans="4:5" x14ac:dyDescent="0.3">
      <c r="D643" s="123"/>
      <c r="E643" s="15"/>
    </row>
    <row r="644" spans="4:5" x14ac:dyDescent="0.3">
      <c r="D644" s="123"/>
      <c r="E644" s="15"/>
    </row>
    <row r="645" spans="4:5" x14ac:dyDescent="0.3">
      <c r="D645" s="123"/>
      <c r="E645" s="15"/>
    </row>
    <row r="646" spans="4:5" x14ac:dyDescent="0.3">
      <c r="D646" s="123"/>
      <c r="E646" s="15"/>
    </row>
    <row r="647" spans="4:5" x14ac:dyDescent="0.3">
      <c r="D647" s="123"/>
      <c r="E647" s="15"/>
    </row>
    <row r="648" spans="4:5" x14ac:dyDescent="0.3">
      <c r="D648" s="123"/>
      <c r="E648" s="15"/>
    </row>
    <row r="649" spans="4:5" x14ac:dyDescent="0.3">
      <c r="D649" s="123"/>
      <c r="E649" s="15"/>
    </row>
    <row r="650" spans="4:5" x14ac:dyDescent="0.3">
      <c r="D650" s="123"/>
      <c r="E650" s="15"/>
    </row>
    <row r="651" spans="4:5" x14ac:dyDescent="0.3">
      <c r="D651" s="123"/>
      <c r="E651" s="15"/>
    </row>
    <row r="652" spans="4:5" x14ac:dyDescent="0.3">
      <c r="D652" s="123"/>
      <c r="E652" s="15"/>
    </row>
    <row r="653" spans="4:5" x14ac:dyDescent="0.3">
      <c r="D653" s="123"/>
      <c r="E653" s="15"/>
    </row>
    <row r="654" spans="4:5" x14ac:dyDescent="0.3">
      <c r="D654" s="123"/>
      <c r="E654" s="15"/>
    </row>
    <row r="655" spans="4:5" x14ac:dyDescent="0.3">
      <c r="D655" s="123"/>
      <c r="E655" s="15"/>
    </row>
    <row r="656" spans="4:5" x14ac:dyDescent="0.3">
      <c r="D656" s="123"/>
      <c r="E656" s="15"/>
    </row>
    <row r="657" spans="4:5" x14ac:dyDescent="0.3">
      <c r="D657" s="123"/>
      <c r="E657" s="15"/>
    </row>
    <row r="658" spans="4:5" x14ac:dyDescent="0.3">
      <c r="D658" s="123"/>
      <c r="E658" s="15"/>
    </row>
    <row r="659" spans="4:5" x14ac:dyDescent="0.3">
      <c r="D659" s="123"/>
      <c r="E659" s="15"/>
    </row>
    <row r="660" spans="4:5" x14ac:dyDescent="0.3">
      <c r="D660" s="123"/>
      <c r="E660" s="15"/>
    </row>
    <row r="661" spans="4:5" x14ac:dyDescent="0.3">
      <c r="D661" s="123"/>
      <c r="E661" s="15"/>
    </row>
    <row r="662" spans="4:5" x14ac:dyDescent="0.3">
      <c r="D662" s="123"/>
      <c r="E662" s="15"/>
    </row>
    <row r="663" spans="4:5" x14ac:dyDescent="0.3">
      <c r="D663" s="123"/>
      <c r="E663" s="15"/>
    </row>
    <row r="664" spans="4:5" x14ac:dyDescent="0.3">
      <c r="D664" s="123"/>
      <c r="E664" s="15"/>
    </row>
    <row r="665" spans="4:5" x14ac:dyDescent="0.3">
      <c r="D665" s="123"/>
      <c r="E665" s="15"/>
    </row>
    <row r="666" spans="4:5" x14ac:dyDescent="0.3">
      <c r="D666" s="123"/>
      <c r="E666" s="15"/>
    </row>
    <row r="667" spans="4:5" x14ac:dyDescent="0.3">
      <c r="D667" s="123"/>
      <c r="E667" s="15"/>
    </row>
    <row r="668" spans="4:5" x14ac:dyDescent="0.3">
      <c r="D668" s="123"/>
      <c r="E668" s="15"/>
    </row>
    <row r="669" spans="4:5" x14ac:dyDescent="0.3">
      <c r="D669" s="123"/>
      <c r="E669" s="15"/>
    </row>
    <row r="670" spans="4:5" x14ac:dyDescent="0.3">
      <c r="D670" s="123"/>
      <c r="E670" s="15"/>
    </row>
    <row r="671" spans="4:5" x14ac:dyDescent="0.3">
      <c r="D671" s="123"/>
      <c r="E671" s="15"/>
    </row>
    <row r="672" spans="4:5" x14ac:dyDescent="0.3">
      <c r="D672" s="123"/>
      <c r="E672" s="15"/>
    </row>
    <row r="673" spans="4:5" x14ac:dyDescent="0.3">
      <c r="D673" s="123"/>
      <c r="E673" s="15"/>
    </row>
    <row r="674" spans="4:5" x14ac:dyDescent="0.3">
      <c r="D674" s="123"/>
      <c r="E674" s="15"/>
    </row>
    <row r="675" spans="4:5" x14ac:dyDescent="0.3">
      <c r="D675" s="123"/>
      <c r="E675" s="15"/>
    </row>
    <row r="676" spans="4:5" x14ac:dyDescent="0.3">
      <c r="D676" s="123"/>
      <c r="E676" s="15"/>
    </row>
    <row r="677" spans="4:5" x14ac:dyDescent="0.3">
      <c r="D677" s="123"/>
      <c r="E677" s="15"/>
    </row>
    <row r="678" spans="4:5" x14ac:dyDescent="0.3">
      <c r="D678" s="123"/>
      <c r="E678" s="15"/>
    </row>
    <row r="679" spans="4:5" x14ac:dyDescent="0.3">
      <c r="D679" s="123"/>
      <c r="E679" s="15"/>
    </row>
    <row r="680" spans="4:5" x14ac:dyDescent="0.3">
      <c r="D680" s="123"/>
      <c r="E680" s="15"/>
    </row>
    <row r="681" spans="4:5" x14ac:dyDescent="0.3">
      <c r="D681" s="123"/>
      <c r="E681" s="15"/>
    </row>
    <row r="682" spans="4:5" x14ac:dyDescent="0.3">
      <c r="D682" s="123"/>
      <c r="E682" s="15"/>
    </row>
    <row r="683" spans="4:5" x14ac:dyDescent="0.3">
      <c r="D683" s="123"/>
      <c r="E683" s="15"/>
    </row>
    <row r="684" spans="4:5" x14ac:dyDescent="0.3">
      <c r="D684" s="123"/>
      <c r="E684" s="15"/>
    </row>
    <row r="685" spans="4:5" x14ac:dyDescent="0.3">
      <c r="D685" s="123"/>
      <c r="E685" s="15"/>
    </row>
    <row r="686" spans="4:5" x14ac:dyDescent="0.3">
      <c r="D686" s="123"/>
      <c r="E686" s="15"/>
    </row>
    <row r="687" spans="4:5" x14ac:dyDescent="0.3">
      <c r="D687" s="123"/>
      <c r="E687" s="15"/>
    </row>
    <row r="688" spans="4:5" x14ac:dyDescent="0.3">
      <c r="D688" s="123"/>
      <c r="E688" s="15"/>
    </row>
    <row r="689" spans="4:5" x14ac:dyDescent="0.3">
      <c r="D689" s="123"/>
      <c r="E689" s="15"/>
    </row>
    <row r="690" spans="4:5" x14ac:dyDescent="0.3">
      <c r="D690" s="123"/>
      <c r="E690" s="15"/>
    </row>
    <row r="691" spans="4:5" x14ac:dyDescent="0.3">
      <c r="D691" s="123"/>
      <c r="E691" s="15"/>
    </row>
    <row r="692" spans="4:5" x14ac:dyDescent="0.3">
      <c r="D692" s="123"/>
      <c r="E692" s="15"/>
    </row>
    <row r="693" spans="4:5" x14ac:dyDescent="0.3">
      <c r="D693" s="123"/>
      <c r="E693" s="15"/>
    </row>
    <row r="694" spans="4:5" x14ac:dyDescent="0.3">
      <c r="D694" s="123"/>
      <c r="E694" s="15"/>
    </row>
    <row r="695" spans="4:5" x14ac:dyDescent="0.3">
      <c r="D695" s="123"/>
      <c r="E695" s="15"/>
    </row>
    <row r="696" spans="4:5" x14ac:dyDescent="0.3">
      <c r="D696" s="123"/>
      <c r="E696" s="15"/>
    </row>
    <row r="697" spans="4:5" x14ac:dyDescent="0.3">
      <c r="D697" s="123"/>
      <c r="E697" s="15"/>
    </row>
    <row r="698" spans="4:5" x14ac:dyDescent="0.3">
      <c r="D698" s="123"/>
      <c r="E698" s="15"/>
    </row>
    <row r="699" spans="4:5" x14ac:dyDescent="0.3">
      <c r="D699" s="123"/>
      <c r="E699" s="15"/>
    </row>
    <row r="700" spans="4:5" x14ac:dyDescent="0.3">
      <c r="D700" s="123"/>
      <c r="E700" s="15"/>
    </row>
    <row r="701" spans="4:5" x14ac:dyDescent="0.3">
      <c r="D701" s="123"/>
      <c r="E701" s="15"/>
    </row>
    <row r="702" spans="4:5" x14ac:dyDescent="0.3">
      <c r="D702" s="123"/>
      <c r="E702" s="15"/>
    </row>
    <row r="703" spans="4:5" x14ac:dyDescent="0.3">
      <c r="D703" s="123"/>
      <c r="E703" s="15"/>
    </row>
    <row r="704" spans="4:5" x14ac:dyDescent="0.3">
      <c r="D704" s="123"/>
      <c r="E704" s="15"/>
    </row>
    <row r="705" spans="4:5" x14ac:dyDescent="0.3">
      <c r="D705" s="123"/>
      <c r="E705" s="15"/>
    </row>
    <row r="706" spans="4:5" x14ac:dyDescent="0.3">
      <c r="D706" s="123"/>
      <c r="E706" s="15"/>
    </row>
    <row r="707" spans="4:5" x14ac:dyDescent="0.3">
      <c r="D707" s="123"/>
      <c r="E707" s="15"/>
    </row>
    <row r="708" spans="4:5" x14ac:dyDescent="0.3">
      <c r="D708" s="123"/>
      <c r="E708" s="15"/>
    </row>
    <row r="709" spans="4:5" x14ac:dyDescent="0.3">
      <c r="D709" s="123"/>
      <c r="E709" s="15"/>
    </row>
    <row r="710" spans="4:5" x14ac:dyDescent="0.3">
      <c r="D710" s="123"/>
      <c r="E710" s="15"/>
    </row>
    <row r="711" spans="4:5" x14ac:dyDescent="0.3">
      <c r="D711" s="123"/>
      <c r="E711" s="15"/>
    </row>
    <row r="712" spans="4:5" x14ac:dyDescent="0.3">
      <c r="D712" s="123"/>
      <c r="E712" s="15"/>
    </row>
    <row r="713" spans="4:5" x14ac:dyDescent="0.3">
      <c r="D713" s="123"/>
      <c r="E713" s="15"/>
    </row>
    <row r="714" spans="4:5" x14ac:dyDescent="0.3">
      <c r="D714" s="123"/>
      <c r="E714" s="15"/>
    </row>
    <row r="715" spans="4:5" x14ac:dyDescent="0.3">
      <c r="D715" s="123"/>
      <c r="E715" s="15"/>
    </row>
    <row r="716" spans="4:5" x14ac:dyDescent="0.3">
      <c r="D716" s="123"/>
      <c r="E716" s="15"/>
    </row>
    <row r="717" spans="4:5" x14ac:dyDescent="0.3">
      <c r="D717" s="123"/>
      <c r="E717" s="15"/>
    </row>
    <row r="718" spans="4:5" x14ac:dyDescent="0.3">
      <c r="D718" s="123"/>
      <c r="E718" s="15"/>
    </row>
    <row r="719" spans="4:5" x14ac:dyDescent="0.3">
      <c r="D719" s="123"/>
      <c r="E719" s="15"/>
    </row>
    <row r="720" spans="4:5" x14ac:dyDescent="0.3">
      <c r="D720" s="123"/>
      <c r="E720" s="15"/>
    </row>
    <row r="721" spans="4:5" x14ac:dyDescent="0.3">
      <c r="D721" s="123"/>
      <c r="E721" s="15"/>
    </row>
    <row r="722" spans="4:5" x14ac:dyDescent="0.3">
      <c r="D722" s="123"/>
      <c r="E722" s="15"/>
    </row>
    <row r="723" spans="4:5" x14ac:dyDescent="0.3">
      <c r="D723" s="123"/>
      <c r="E723" s="15"/>
    </row>
    <row r="724" spans="4:5" x14ac:dyDescent="0.3">
      <c r="D724" s="123"/>
      <c r="E724" s="15"/>
    </row>
    <row r="725" spans="4:5" x14ac:dyDescent="0.3">
      <c r="D725" s="123"/>
      <c r="E725" s="15"/>
    </row>
    <row r="726" spans="4:5" x14ac:dyDescent="0.3">
      <c r="D726" s="123"/>
      <c r="E726" s="15"/>
    </row>
    <row r="727" spans="4:5" x14ac:dyDescent="0.3">
      <c r="D727" s="123"/>
      <c r="E727" s="15"/>
    </row>
    <row r="728" spans="4:5" x14ac:dyDescent="0.3">
      <c r="D728" s="123"/>
      <c r="E728" s="15"/>
    </row>
    <row r="729" spans="4:5" x14ac:dyDescent="0.3">
      <c r="D729" s="123"/>
      <c r="E729" s="15"/>
    </row>
    <row r="730" spans="4:5" x14ac:dyDescent="0.3">
      <c r="D730" s="123"/>
      <c r="E730" s="15"/>
    </row>
    <row r="731" spans="4:5" x14ac:dyDescent="0.3">
      <c r="D731" s="123"/>
      <c r="E731" s="15"/>
    </row>
    <row r="732" spans="4:5" x14ac:dyDescent="0.3">
      <c r="D732" s="123"/>
      <c r="E732" s="15"/>
    </row>
    <row r="733" spans="4:5" x14ac:dyDescent="0.3">
      <c r="D733" s="123"/>
      <c r="E733" s="15"/>
    </row>
    <row r="734" spans="4:5" x14ac:dyDescent="0.3">
      <c r="D734" s="123"/>
      <c r="E734" s="15"/>
    </row>
    <row r="735" spans="4:5" x14ac:dyDescent="0.3">
      <c r="D735" s="123"/>
      <c r="E735" s="15"/>
    </row>
    <row r="736" spans="4:5" x14ac:dyDescent="0.3">
      <c r="D736" s="123"/>
      <c r="E736" s="15"/>
    </row>
    <row r="737" spans="4:5" x14ac:dyDescent="0.3">
      <c r="D737" s="123"/>
      <c r="E737" s="15"/>
    </row>
    <row r="738" spans="4:5" x14ac:dyDescent="0.3">
      <c r="D738" s="123"/>
      <c r="E738" s="15"/>
    </row>
    <row r="739" spans="4:5" x14ac:dyDescent="0.3">
      <c r="D739" s="123"/>
      <c r="E739" s="15"/>
    </row>
    <row r="740" spans="4:5" x14ac:dyDescent="0.3">
      <c r="D740" s="123"/>
      <c r="E740" s="15"/>
    </row>
    <row r="741" spans="4:5" x14ac:dyDescent="0.3">
      <c r="D741" s="123"/>
      <c r="E741" s="15"/>
    </row>
    <row r="742" spans="4:5" x14ac:dyDescent="0.3">
      <c r="D742" s="123"/>
      <c r="E742" s="15"/>
    </row>
    <row r="743" spans="4:5" x14ac:dyDescent="0.3">
      <c r="D743" s="123"/>
      <c r="E743" s="15"/>
    </row>
    <row r="744" spans="4:5" x14ac:dyDescent="0.3">
      <c r="D744" s="123"/>
      <c r="E744" s="15"/>
    </row>
    <row r="745" spans="4:5" x14ac:dyDescent="0.3">
      <c r="D745" s="123"/>
      <c r="E745" s="15"/>
    </row>
    <row r="746" spans="4:5" x14ac:dyDescent="0.3">
      <c r="D746" s="123"/>
      <c r="E746" s="15"/>
    </row>
    <row r="747" spans="4:5" x14ac:dyDescent="0.3">
      <c r="D747" s="123"/>
      <c r="E747" s="15"/>
    </row>
    <row r="748" spans="4:5" x14ac:dyDescent="0.3">
      <c r="D748" s="123"/>
      <c r="E748" s="15"/>
    </row>
    <row r="749" spans="4:5" x14ac:dyDescent="0.3">
      <c r="D749" s="123"/>
      <c r="E749" s="15"/>
    </row>
    <row r="750" spans="4:5" x14ac:dyDescent="0.3">
      <c r="D750" s="123"/>
      <c r="E750" s="15"/>
    </row>
    <row r="751" spans="4:5" x14ac:dyDescent="0.3">
      <c r="D751" s="123"/>
      <c r="E751" s="15"/>
    </row>
    <row r="752" spans="4:5" x14ac:dyDescent="0.3">
      <c r="D752" s="123"/>
      <c r="E752" s="15"/>
    </row>
    <row r="753" spans="4:5" x14ac:dyDescent="0.3">
      <c r="D753" s="123"/>
      <c r="E753" s="15"/>
    </row>
    <row r="754" spans="4:5" x14ac:dyDescent="0.3">
      <c r="D754" s="123"/>
      <c r="E754" s="15"/>
    </row>
    <row r="755" spans="4:5" x14ac:dyDescent="0.3">
      <c r="D755" s="123"/>
      <c r="E755" s="15"/>
    </row>
    <row r="756" spans="4:5" x14ac:dyDescent="0.3">
      <c r="D756" s="123"/>
      <c r="E756" s="15"/>
    </row>
    <row r="757" spans="4:5" x14ac:dyDescent="0.3">
      <c r="D757" s="123"/>
      <c r="E757" s="15"/>
    </row>
    <row r="758" spans="4:5" x14ac:dyDescent="0.3">
      <c r="D758" s="123"/>
      <c r="E758" s="15"/>
    </row>
    <row r="759" spans="4:5" x14ac:dyDescent="0.3">
      <c r="D759" s="123"/>
      <c r="E759" s="15"/>
    </row>
    <row r="760" spans="4:5" x14ac:dyDescent="0.3">
      <c r="D760" s="123"/>
      <c r="E760" s="15"/>
    </row>
    <row r="761" spans="4:5" x14ac:dyDescent="0.3">
      <c r="D761" s="123"/>
      <c r="E761" s="15"/>
    </row>
    <row r="762" spans="4:5" x14ac:dyDescent="0.3">
      <c r="D762" s="123"/>
      <c r="E762" s="15"/>
    </row>
    <row r="763" spans="4:5" x14ac:dyDescent="0.3">
      <c r="D763" s="123"/>
      <c r="E763" s="15"/>
    </row>
    <row r="764" spans="4:5" x14ac:dyDescent="0.3">
      <c r="D764" s="123"/>
      <c r="E764" s="15"/>
    </row>
    <row r="765" spans="4:5" x14ac:dyDescent="0.3">
      <c r="D765" s="123"/>
      <c r="E765" s="15"/>
    </row>
    <row r="766" spans="4:5" x14ac:dyDescent="0.3">
      <c r="D766" s="123"/>
      <c r="E766" s="15"/>
    </row>
    <row r="767" spans="4:5" x14ac:dyDescent="0.3">
      <c r="D767" s="123"/>
      <c r="E767" s="15"/>
    </row>
    <row r="768" spans="4:5" x14ac:dyDescent="0.3">
      <c r="D768" s="123"/>
      <c r="E768" s="15"/>
    </row>
    <row r="769" spans="4:5" x14ac:dyDescent="0.3">
      <c r="D769" s="123"/>
      <c r="E769" s="15"/>
    </row>
    <row r="770" spans="4:5" x14ac:dyDescent="0.3">
      <c r="D770" s="123"/>
      <c r="E770" s="15"/>
    </row>
    <row r="771" spans="4:5" x14ac:dyDescent="0.3">
      <c r="D771" s="123"/>
      <c r="E771" s="15"/>
    </row>
    <row r="772" spans="4:5" x14ac:dyDescent="0.3">
      <c r="D772" s="123"/>
      <c r="E772" s="15"/>
    </row>
    <row r="773" spans="4:5" x14ac:dyDescent="0.3">
      <c r="D773" s="123"/>
      <c r="E773" s="15"/>
    </row>
    <row r="774" spans="4:5" x14ac:dyDescent="0.3">
      <c r="D774" s="123"/>
      <c r="E774" s="15"/>
    </row>
    <row r="775" spans="4:5" x14ac:dyDescent="0.3">
      <c r="D775" s="123"/>
      <c r="E775" s="15"/>
    </row>
    <row r="776" spans="4:5" x14ac:dyDescent="0.3">
      <c r="D776" s="123"/>
      <c r="E776" s="15"/>
    </row>
    <row r="777" spans="4:5" x14ac:dyDescent="0.3">
      <c r="D777" s="123"/>
      <c r="E777" s="15"/>
    </row>
    <row r="778" spans="4:5" x14ac:dyDescent="0.3">
      <c r="D778" s="123"/>
      <c r="E778" s="15"/>
    </row>
    <row r="779" spans="4:5" x14ac:dyDescent="0.3">
      <c r="D779" s="123"/>
      <c r="E779" s="15"/>
    </row>
    <row r="780" spans="4:5" x14ac:dyDescent="0.3">
      <c r="D780" s="123"/>
      <c r="E780" s="15"/>
    </row>
    <row r="781" spans="4:5" x14ac:dyDescent="0.3">
      <c r="D781" s="123"/>
      <c r="E781" s="15"/>
    </row>
    <row r="782" spans="4:5" x14ac:dyDescent="0.3">
      <c r="D782" s="123"/>
      <c r="E782" s="15"/>
    </row>
    <row r="783" spans="4:5" x14ac:dyDescent="0.3">
      <c r="D783" s="123"/>
      <c r="E783" s="15"/>
    </row>
    <row r="784" spans="4:5" x14ac:dyDescent="0.3">
      <c r="D784" s="123"/>
      <c r="E784" s="15"/>
    </row>
    <row r="785" spans="4:5" x14ac:dyDescent="0.3">
      <c r="D785" s="123"/>
      <c r="E785" s="15"/>
    </row>
    <row r="786" spans="4:5" x14ac:dyDescent="0.3">
      <c r="D786" s="123"/>
      <c r="E786" s="15"/>
    </row>
    <row r="787" spans="4:5" x14ac:dyDescent="0.3">
      <c r="D787" s="123"/>
      <c r="E787" s="15"/>
    </row>
    <row r="788" spans="4:5" x14ac:dyDescent="0.3">
      <c r="D788" s="123"/>
      <c r="E788" s="15"/>
    </row>
    <row r="789" spans="4:5" x14ac:dyDescent="0.3">
      <c r="D789" s="123"/>
      <c r="E789" s="15"/>
    </row>
    <row r="790" spans="4:5" x14ac:dyDescent="0.3">
      <c r="D790" s="123"/>
      <c r="E790" s="15"/>
    </row>
    <row r="791" spans="4:5" x14ac:dyDescent="0.3">
      <c r="D791" s="123"/>
      <c r="E791" s="15"/>
    </row>
    <row r="792" spans="4:5" x14ac:dyDescent="0.3">
      <c r="D792" s="123"/>
      <c r="E792" s="15"/>
    </row>
    <row r="793" spans="4:5" x14ac:dyDescent="0.3">
      <c r="D793" s="123"/>
      <c r="E793" s="15"/>
    </row>
    <row r="794" spans="4:5" x14ac:dyDescent="0.3">
      <c r="D794" s="123"/>
      <c r="E794" s="15"/>
    </row>
    <row r="795" spans="4:5" x14ac:dyDescent="0.3">
      <c r="D795" s="123"/>
      <c r="E795" s="15"/>
    </row>
    <row r="796" spans="4:5" x14ac:dyDescent="0.3">
      <c r="D796" s="123"/>
      <c r="E796" s="15"/>
    </row>
    <row r="797" spans="4:5" x14ac:dyDescent="0.3">
      <c r="D797" s="123"/>
      <c r="E797" s="15"/>
    </row>
    <row r="798" spans="4:5" x14ac:dyDescent="0.3">
      <c r="D798" s="123"/>
      <c r="E798" s="15"/>
    </row>
    <row r="799" spans="4:5" x14ac:dyDescent="0.3">
      <c r="D799" s="123"/>
      <c r="E799" s="15"/>
    </row>
    <row r="800" spans="4:5" x14ac:dyDescent="0.3">
      <c r="D800" s="123"/>
      <c r="E800" s="15"/>
    </row>
    <row r="801" spans="4:5" x14ac:dyDescent="0.3">
      <c r="D801" s="123"/>
      <c r="E801" s="15"/>
    </row>
    <row r="802" spans="4:5" x14ac:dyDescent="0.3">
      <c r="D802" s="123"/>
      <c r="E802" s="15"/>
    </row>
    <row r="803" spans="4:5" x14ac:dyDescent="0.3">
      <c r="D803" s="123"/>
      <c r="E803" s="15"/>
    </row>
    <row r="804" spans="4:5" x14ac:dyDescent="0.3">
      <c r="D804" s="123"/>
      <c r="E804" s="15"/>
    </row>
    <row r="805" spans="4:5" x14ac:dyDescent="0.3">
      <c r="D805" s="123"/>
      <c r="E805" s="15"/>
    </row>
    <row r="806" spans="4:5" x14ac:dyDescent="0.3">
      <c r="D806" s="123"/>
      <c r="E806" s="15"/>
    </row>
    <row r="807" spans="4:5" x14ac:dyDescent="0.3">
      <c r="D807" s="123"/>
      <c r="E807" s="15"/>
    </row>
    <row r="808" spans="4:5" x14ac:dyDescent="0.3">
      <c r="D808" s="123"/>
      <c r="E808" s="15"/>
    </row>
    <row r="809" spans="4:5" x14ac:dyDescent="0.3">
      <c r="D809" s="123"/>
      <c r="E809" s="15"/>
    </row>
    <row r="810" spans="4:5" x14ac:dyDescent="0.3">
      <c r="D810" s="123"/>
      <c r="E810" s="15"/>
    </row>
    <row r="811" spans="4:5" x14ac:dyDescent="0.3">
      <c r="D811" s="123"/>
      <c r="E811" s="15"/>
    </row>
    <row r="812" spans="4:5" x14ac:dyDescent="0.3">
      <c r="D812" s="123"/>
      <c r="E812" s="15"/>
    </row>
    <row r="813" spans="4:5" x14ac:dyDescent="0.3">
      <c r="D813" s="123"/>
      <c r="E813" s="15"/>
    </row>
    <row r="814" spans="4:5" x14ac:dyDescent="0.3">
      <c r="D814" s="123"/>
      <c r="E814" s="15"/>
    </row>
    <row r="815" spans="4:5" x14ac:dyDescent="0.3">
      <c r="D815" s="123"/>
      <c r="E815" s="15"/>
    </row>
    <row r="816" spans="4:5" x14ac:dyDescent="0.3">
      <c r="D816" s="123"/>
      <c r="E816" s="15"/>
    </row>
    <row r="817" spans="4:5" x14ac:dyDescent="0.3">
      <c r="D817" s="123"/>
      <c r="E817" s="15"/>
    </row>
    <row r="818" spans="4:5" x14ac:dyDescent="0.3">
      <c r="D818" s="123"/>
      <c r="E818" s="15"/>
    </row>
    <row r="819" spans="4:5" x14ac:dyDescent="0.3">
      <c r="D819" s="123"/>
      <c r="E819" s="15"/>
    </row>
    <row r="820" spans="4:5" x14ac:dyDescent="0.3">
      <c r="D820" s="123"/>
      <c r="E820" s="15"/>
    </row>
    <row r="821" spans="4:5" x14ac:dyDescent="0.3">
      <c r="D821" s="123"/>
      <c r="E821" s="15"/>
    </row>
    <row r="822" spans="4:5" x14ac:dyDescent="0.3">
      <c r="D822" s="123"/>
      <c r="E822" s="15"/>
    </row>
    <row r="823" spans="4:5" x14ac:dyDescent="0.3">
      <c r="D823" s="123"/>
      <c r="E823" s="15"/>
    </row>
    <row r="824" spans="4:5" x14ac:dyDescent="0.3">
      <c r="D824" s="123"/>
      <c r="E824" s="15"/>
    </row>
    <row r="825" spans="4:5" x14ac:dyDescent="0.3">
      <c r="D825" s="123"/>
      <c r="E825" s="15"/>
    </row>
    <row r="826" spans="4:5" x14ac:dyDescent="0.3">
      <c r="D826" s="123"/>
      <c r="E826" s="15"/>
    </row>
    <row r="827" spans="4:5" x14ac:dyDescent="0.3">
      <c r="D827" s="123"/>
      <c r="E827" s="15"/>
    </row>
    <row r="828" spans="4:5" x14ac:dyDescent="0.3">
      <c r="D828" s="123"/>
      <c r="E828" s="15"/>
    </row>
    <row r="829" spans="4:5" x14ac:dyDescent="0.3">
      <c r="D829" s="123"/>
      <c r="E829" s="15"/>
    </row>
    <row r="830" spans="4:5" x14ac:dyDescent="0.3">
      <c r="D830" s="123"/>
      <c r="E830" s="15"/>
    </row>
    <row r="831" spans="4:5" x14ac:dyDescent="0.3">
      <c r="D831" s="123"/>
      <c r="E831" s="15"/>
    </row>
    <row r="832" spans="4:5" x14ac:dyDescent="0.3">
      <c r="D832" s="123"/>
      <c r="E832" s="15"/>
    </row>
    <row r="833" spans="4:5" x14ac:dyDescent="0.3">
      <c r="D833" s="123"/>
      <c r="E833" s="15"/>
    </row>
    <row r="834" spans="4:5" x14ac:dyDescent="0.3">
      <c r="D834" s="123"/>
      <c r="E834" s="15"/>
    </row>
    <row r="835" spans="4:5" x14ac:dyDescent="0.3">
      <c r="D835" s="123"/>
      <c r="E835" s="15"/>
    </row>
    <row r="836" spans="4:5" x14ac:dyDescent="0.3">
      <c r="D836" s="123"/>
      <c r="E836" s="15"/>
    </row>
    <row r="837" spans="4:5" x14ac:dyDescent="0.3">
      <c r="D837" s="123"/>
      <c r="E837" s="15"/>
    </row>
    <row r="838" spans="4:5" x14ac:dyDescent="0.3">
      <c r="D838" s="123"/>
      <c r="E838" s="15"/>
    </row>
    <row r="839" spans="4:5" x14ac:dyDescent="0.3">
      <c r="D839" s="123"/>
      <c r="E839" s="15"/>
    </row>
    <row r="840" spans="4:5" x14ac:dyDescent="0.3">
      <c r="D840" s="123"/>
      <c r="E840" s="15"/>
    </row>
    <row r="841" spans="4:5" x14ac:dyDescent="0.3">
      <c r="D841" s="123"/>
      <c r="E841" s="15"/>
    </row>
    <row r="842" spans="4:5" x14ac:dyDescent="0.3">
      <c r="D842" s="123"/>
      <c r="E842" s="15"/>
    </row>
    <row r="843" spans="4:5" x14ac:dyDescent="0.3">
      <c r="D843" s="123"/>
      <c r="E843" s="15"/>
    </row>
    <row r="844" spans="4:5" x14ac:dyDescent="0.3">
      <c r="D844" s="123"/>
      <c r="E844" s="15"/>
    </row>
    <row r="845" spans="4:5" x14ac:dyDescent="0.3">
      <c r="D845" s="123"/>
      <c r="E845" s="15"/>
    </row>
    <row r="846" spans="4:5" x14ac:dyDescent="0.3">
      <c r="D846" s="123"/>
      <c r="E846" s="15"/>
    </row>
    <row r="847" spans="4:5" x14ac:dyDescent="0.3">
      <c r="D847" s="123"/>
      <c r="E847" s="15"/>
    </row>
    <row r="848" spans="4:5" x14ac:dyDescent="0.3">
      <c r="D848" s="123"/>
      <c r="E848" s="15"/>
    </row>
    <row r="849" spans="4:5" x14ac:dyDescent="0.3">
      <c r="D849" s="123"/>
      <c r="E849" s="15"/>
    </row>
    <row r="850" spans="4:5" x14ac:dyDescent="0.3">
      <c r="D850" s="123"/>
      <c r="E850" s="15"/>
    </row>
    <row r="851" spans="4:5" x14ac:dyDescent="0.3">
      <c r="D851" s="123"/>
      <c r="E851" s="15"/>
    </row>
    <row r="852" spans="4:5" x14ac:dyDescent="0.3">
      <c r="D852" s="123"/>
      <c r="E852" s="15"/>
    </row>
    <row r="853" spans="4:5" x14ac:dyDescent="0.3">
      <c r="D853" s="123"/>
      <c r="E853" s="15"/>
    </row>
    <row r="854" spans="4:5" x14ac:dyDescent="0.3">
      <c r="D854" s="123"/>
      <c r="E854" s="15"/>
    </row>
    <row r="855" spans="4:5" x14ac:dyDescent="0.3">
      <c r="D855" s="123"/>
      <c r="E855" s="15"/>
    </row>
    <row r="856" spans="4:5" x14ac:dyDescent="0.3">
      <c r="D856" s="123"/>
      <c r="E856" s="15"/>
    </row>
    <row r="857" spans="4:5" x14ac:dyDescent="0.3">
      <c r="D857" s="123"/>
      <c r="E857" s="15"/>
    </row>
    <row r="858" spans="4:5" x14ac:dyDescent="0.3">
      <c r="D858" s="123"/>
      <c r="E858" s="15"/>
    </row>
    <row r="859" spans="4:5" x14ac:dyDescent="0.3">
      <c r="D859" s="123"/>
      <c r="E859" s="15"/>
    </row>
    <row r="860" spans="4:5" x14ac:dyDescent="0.3">
      <c r="D860" s="123"/>
      <c r="E860" s="15"/>
    </row>
    <row r="861" spans="4:5" x14ac:dyDescent="0.3">
      <c r="D861" s="123"/>
      <c r="E861" s="15"/>
    </row>
    <row r="862" spans="4:5" x14ac:dyDescent="0.3">
      <c r="D862" s="123"/>
      <c r="E862" s="15"/>
    </row>
    <row r="863" spans="4:5" x14ac:dyDescent="0.3">
      <c r="D863" s="123"/>
      <c r="E863" s="15"/>
    </row>
    <row r="864" spans="4:5" x14ac:dyDescent="0.3">
      <c r="D864" s="123"/>
      <c r="E864" s="15"/>
    </row>
    <row r="865" spans="4:5" x14ac:dyDescent="0.3">
      <c r="D865" s="123"/>
      <c r="E865" s="15"/>
    </row>
    <row r="866" spans="4:5" x14ac:dyDescent="0.3">
      <c r="D866" s="123"/>
      <c r="E866" s="15"/>
    </row>
    <row r="867" spans="4:5" x14ac:dyDescent="0.3">
      <c r="D867" s="123"/>
      <c r="E867" s="15"/>
    </row>
    <row r="868" spans="4:5" x14ac:dyDescent="0.3">
      <c r="D868" s="123"/>
      <c r="E868" s="15"/>
    </row>
    <row r="869" spans="4:5" x14ac:dyDescent="0.3">
      <c r="D869" s="123"/>
      <c r="E869" s="15"/>
    </row>
    <row r="870" spans="4:5" x14ac:dyDescent="0.3">
      <c r="D870" s="123"/>
      <c r="E870" s="15"/>
    </row>
    <row r="871" spans="4:5" x14ac:dyDescent="0.3">
      <c r="D871" s="123"/>
      <c r="E871" s="15"/>
    </row>
    <row r="872" spans="4:5" x14ac:dyDescent="0.3">
      <c r="D872" s="123"/>
      <c r="E872" s="15"/>
    </row>
    <row r="873" spans="4:5" x14ac:dyDescent="0.3">
      <c r="D873" s="123"/>
      <c r="E873" s="15"/>
    </row>
    <row r="874" spans="4:5" x14ac:dyDescent="0.3">
      <c r="D874" s="123"/>
      <c r="E874" s="15"/>
    </row>
    <row r="875" spans="4:5" x14ac:dyDescent="0.3">
      <c r="D875" s="123"/>
      <c r="E875" s="15"/>
    </row>
    <row r="876" spans="4:5" x14ac:dyDescent="0.3">
      <c r="D876" s="123"/>
      <c r="E876" s="15"/>
    </row>
    <row r="877" spans="4:5" x14ac:dyDescent="0.3">
      <c r="D877" s="123"/>
      <c r="E877" s="15"/>
    </row>
    <row r="878" spans="4:5" x14ac:dyDescent="0.3">
      <c r="D878" s="123"/>
      <c r="E878" s="15"/>
    </row>
    <row r="879" spans="4:5" x14ac:dyDescent="0.3">
      <c r="D879" s="123"/>
      <c r="E879" s="15"/>
    </row>
    <row r="880" spans="4:5" x14ac:dyDescent="0.3">
      <c r="D880" s="123"/>
      <c r="E880" s="15"/>
    </row>
    <row r="881" spans="4:5" x14ac:dyDescent="0.3">
      <c r="D881" s="123"/>
      <c r="E881" s="15"/>
    </row>
    <row r="882" spans="4:5" x14ac:dyDescent="0.3">
      <c r="D882" s="123"/>
      <c r="E882" s="15"/>
    </row>
    <row r="883" spans="4:5" x14ac:dyDescent="0.3">
      <c r="D883" s="123"/>
      <c r="E883" s="15"/>
    </row>
    <row r="884" spans="4:5" x14ac:dyDescent="0.3">
      <c r="D884" s="123"/>
      <c r="E884" s="15"/>
    </row>
    <row r="885" spans="4:5" x14ac:dyDescent="0.3">
      <c r="D885" s="123"/>
      <c r="E885" s="15"/>
    </row>
    <row r="886" spans="4:5" x14ac:dyDescent="0.3">
      <c r="D886" s="123"/>
      <c r="E886" s="15"/>
    </row>
    <row r="887" spans="4:5" x14ac:dyDescent="0.3">
      <c r="D887" s="123"/>
      <c r="E887" s="15"/>
    </row>
    <row r="888" spans="4:5" x14ac:dyDescent="0.3">
      <c r="D888" s="123"/>
      <c r="E888" s="15"/>
    </row>
    <row r="889" spans="4:5" x14ac:dyDescent="0.3">
      <c r="D889" s="123"/>
      <c r="E889" s="15"/>
    </row>
    <row r="890" spans="4:5" x14ac:dyDescent="0.3">
      <c r="D890" s="123"/>
      <c r="E890" s="15"/>
    </row>
    <row r="891" spans="4:5" x14ac:dyDescent="0.3">
      <c r="D891" s="123"/>
      <c r="E891" s="15"/>
    </row>
    <row r="892" spans="4:5" x14ac:dyDescent="0.3">
      <c r="D892" s="123"/>
      <c r="E892" s="15"/>
    </row>
    <row r="893" spans="4:5" x14ac:dyDescent="0.3">
      <c r="D893" s="123"/>
      <c r="E893" s="15"/>
    </row>
    <row r="894" spans="4:5" x14ac:dyDescent="0.3">
      <c r="D894" s="123"/>
      <c r="E894" s="15"/>
    </row>
    <row r="895" spans="4:5" x14ac:dyDescent="0.3">
      <c r="D895" s="123"/>
      <c r="E895" s="15"/>
    </row>
    <row r="896" spans="4:5" x14ac:dyDescent="0.3">
      <c r="D896" s="123"/>
      <c r="E896" s="15"/>
    </row>
    <row r="897" spans="4:5" x14ac:dyDescent="0.3">
      <c r="D897" s="123"/>
      <c r="E897" s="15"/>
    </row>
    <row r="898" spans="4:5" x14ac:dyDescent="0.3">
      <c r="D898" s="123"/>
      <c r="E898" s="15"/>
    </row>
    <row r="899" spans="4:5" x14ac:dyDescent="0.3">
      <c r="D899" s="123"/>
      <c r="E899" s="15"/>
    </row>
    <row r="900" spans="4:5" x14ac:dyDescent="0.3">
      <c r="D900" s="123"/>
      <c r="E900" s="15"/>
    </row>
    <row r="901" spans="4:5" x14ac:dyDescent="0.3">
      <c r="D901" s="123"/>
      <c r="E901" s="15"/>
    </row>
    <row r="902" spans="4:5" x14ac:dyDescent="0.3">
      <c r="D902" s="123"/>
      <c r="E902" s="15"/>
    </row>
    <row r="903" spans="4:5" x14ac:dyDescent="0.3">
      <c r="D903" s="123"/>
      <c r="E903" s="15"/>
    </row>
    <row r="904" spans="4:5" x14ac:dyDescent="0.3">
      <c r="D904" s="123"/>
      <c r="E904" s="15"/>
    </row>
    <row r="905" spans="4:5" x14ac:dyDescent="0.3">
      <c r="D905" s="123"/>
      <c r="E905" s="15"/>
    </row>
    <row r="906" spans="4:5" x14ac:dyDescent="0.3">
      <c r="D906" s="123"/>
      <c r="E906" s="15"/>
    </row>
    <row r="907" spans="4:5" x14ac:dyDescent="0.3">
      <c r="D907" s="123"/>
      <c r="E907" s="15"/>
    </row>
    <row r="908" spans="4:5" x14ac:dyDescent="0.3">
      <c r="D908" s="123"/>
      <c r="E908" s="15"/>
    </row>
    <row r="909" spans="4:5" x14ac:dyDescent="0.3">
      <c r="D909" s="123"/>
      <c r="E909" s="15"/>
    </row>
    <row r="910" spans="4:5" x14ac:dyDescent="0.3">
      <c r="D910" s="123"/>
      <c r="E910" s="15"/>
    </row>
    <row r="911" spans="4:5" x14ac:dyDescent="0.3">
      <c r="D911" s="123"/>
      <c r="E911" s="15"/>
    </row>
    <row r="912" spans="4:5" x14ac:dyDescent="0.3">
      <c r="D912" s="123"/>
      <c r="E912" s="15"/>
    </row>
    <row r="913" spans="4:5" x14ac:dyDescent="0.3">
      <c r="D913" s="123"/>
      <c r="E913" s="15"/>
    </row>
    <row r="914" spans="4:5" x14ac:dyDescent="0.3">
      <c r="D914" s="123"/>
      <c r="E914" s="15"/>
    </row>
    <row r="915" spans="4:5" x14ac:dyDescent="0.3">
      <c r="D915" s="123"/>
      <c r="E915" s="15"/>
    </row>
    <row r="916" spans="4:5" x14ac:dyDescent="0.3">
      <c r="D916" s="123"/>
      <c r="E916" s="15"/>
    </row>
    <row r="917" spans="4:5" x14ac:dyDescent="0.3">
      <c r="D917" s="123"/>
      <c r="E917" s="15"/>
    </row>
    <row r="918" spans="4:5" x14ac:dyDescent="0.3">
      <c r="D918" s="123"/>
      <c r="E918" s="15"/>
    </row>
    <row r="919" spans="4:5" x14ac:dyDescent="0.3">
      <c r="D919" s="123"/>
      <c r="E919" s="15"/>
    </row>
    <row r="920" spans="4:5" x14ac:dyDescent="0.3">
      <c r="D920" s="123"/>
      <c r="E920" s="15"/>
    </row>
    <row r="921" spans="4:5" x14ac:dyDescent="0.3">
      <c r="D921" s="123"/>
      <c r="E921" s="15"/>
    </row>
    <row r="922" spans="4:5" x14ac:dyDescent="0.3">
      <c r="D922" s="123"/>
      <c r="E922" s="15"/>
    </row>
    <row r="923" spans="4:5" x14ac:dyDescent="0.3">
      <c r="D923" s="123"/>
      <c r="E923" s="15"/>
    </row>
    <row r="924" spans="4:5" x14ac:dyDescent="0.3">
      <c r="D924" s="123"/>
      <c r="E924" s="15"/>
    </row>
    <row r="925" spans="4:5" x14ac:dyDescent="0.3">
      <c r="D925" s="123"/>
      <c r="E925" s="15"/>
    </row>
    <row r="926" spans="4:5" x14ac:dyDescent="0.3">
      <c r="D926" s="123"/>
      <c r="E926" s="15"/>
    </row>
    <row r="927" spans="4:5" x14ac:dyDescent="0.3">
      <c r="D927" s="123"/>
      <c r="E927" s="15"/>
    </row>
    <row r="928" spans="4:5" x14ac:dyDescent="0.3">
      <c r="D928" s="123"/>
      <c r="E928" s="15"/>
    </row>
    <row r="929" spans="4:5" x14ac:dyDescent="0.3">
      <c r="D929" s="123"/>
      <c r="E929" s="15"/>
    </row>
    <row r="930" spans="4:5" x14ac:dyDescent="0.3">
      <c r="D930" s="123"/>
      <c r="E930" s="15"/>
    </row>
    <row r="931" spans="4:5" x14ac:dyDescent="0.3">
      <c r="D931" s="123"/>
      <c r="E931" s="15"/>
    </row>
    <row r="932" spans="4:5" x14ac:dyDescent="0.3">
      <c r="D932" s="123"/>
      <c r="E932" s="15"/>
    </row>
    <row r="933" spans="4:5" x14ac:dyDescent="0.3">
      <c r="D933" s="123"/>
      <c r="E933" s="15"/>
    </row>
    <row r="934" spans="4:5" x14ac:dyDescent="0.3">
      <c r="D934" s="123"/>
      <c r="E934" s="15"/>
    </row>
    <row r="935" spans="4:5" x14ac:dyDescent="0.3">
      <c r="D935" s="123"/>
      <c r="E935" s="15"/>
    </row>
    <row r="936" spans="4:5" x14ac:dyDescent="0.3">
      <c r="D936" s="123"/>
      <c r="E936" s="15"/>
    </row>
    <row r="937" spans="4:5" x14ac:dyDescent="0.3">
      <c r="D937" s="123"/>
      <c r="E937" s="15"/>
    </row>
    <row r="938" spans="4:5" x14ac:dyDescent="0.3">
      <c r="D938" s="123"/>
      <c r="E938" s="15"/>
    </row>
    <row r="939" spans="4:5" x14ac:dyDescent="0.3">
      <c r="D939" s="123"/>
      <c r="E939" s="15"/>
    </row>
    <row r="940" spans="4:5" x14ac:dyDescent="0.3">
      <c r="D940" s="123"/>
      <c r="E940" s="15"/>
    </row>
    <row r="941" spans="4:5" x14ac:dyDescent="0.3">
      <c r="D941" s="123"/>
      <c r="E941" s="15"/>
    </row>
    <row r="942" spans="4:5" x14ac:dyDescent="0.3">
      <c r="D942" s="123"/>
      <c r="E942" s="15"/>
    </row>
    <row r="943" spans="4:5" x14ac:dyDescent="0.3">
      <c r="D943" s="123"/>
      <c r="E943" s="15"/>
    </row>
    <row r="944" spans="4:5" x14ac:dyDescent="0.3">
      <c r="D944" s="123"/>
      <c r="E944" s="15"/>
    </row>
    <row r="945" spans="4:5" x14ac:dyDescent="0.3">
      <c r="D945" s="123"/>
      <c r="E945" s="15"/>
    </row>
    <row r="946" spans="4:5" x14ac:dyDescent="0.3">
      <c r="D946" s="123"/>
      <c r="E946" s="15"/>
    </row>
    <row r="947" spans="4:5" x14ac:dyDescent="0.3">
      <c r="D947" s="123"/>
      <c r="E947" s="15"/>
    </row>
    <row r="948" spans="4:5" x14ac:dyDescent="0.3">
      <c r="D948" s="123"/>
      <c r="E948" s="15"/>
    </row>
    <row r="949" spans="4:5" x14ac:dyDescent="0.3">
      <c r="D949" s="123"/>
      <c r="E949" s="15"/>
    </row>
    <row r="950" spans="4:5" x14ac:dyDescent="0.3">
      <c r="D950" s="123"/>
      <c r="E950" s="15"/>
    </row>
    <row r="951" spans="4:5" x14ac:dyDescent="0.3">
      <c r="D951" s="123"/>
      <c r="E951" s="15"/>
    </row>
    <row r="952" spans="4:5" x14ac:dyDescent="0.3">
      <c r="D952" s="123"/>
      <c r="E952" s="15"/>
    </row>
    <row r="953" spans="4:5" x14ac:dyDescent="0.3">
      <c r="D953" s="123"/>
      <c r="E953" s="15"/>
    </row>
    <row r="954" spans="4:5" x14ac:dyDescent="0.3">
      <c r="D954" s="123"/>
      <c r="E954" s="15"/>
    </row>
    <row r="955" spans="4:5" x14ac:dyDescent="0.3">
      <c r="D955" s="123"/>
      <c r="E955" s="15"/>
    </row>
    <row r="956" spans="4:5" x14ac:dyDescent="0.3">
      <c r="D956" s="123"/>
      <c r="E956" s="15"/>
    </row>
    <row r="957" spans="4:5" x14ac:dyDescent="0.3">
      <c r="D957" s="123"/>
      <c r="E957" s="15"/>
    </row>
    <row r="958" spans="4:5" x14ac:dyDescent="0.3">
      <c r="D958" s="123"/>
      <c r="E958" s="15"/>
    </row>
    <row r="959" spans="4:5" x14ac:dyDescent="0.3">
      <c r="D959" s="123"/>
      <c r="E959" s="15"/>
    </row>
    <row r="960" spans="4:5" x14ac:dyDescent="0.3">
      <c r="D960" s="123"/>
      <c r="E960" s="15"/>
    </row>
    <row r="961" spans="4:5" x14ac:dyDescent="0.3">
      <c r="D961" s="123"/>
      <c r="E961" s="15"/>
    </row>
    <row r="962" spans="4:5" x14ac:dyDescent="0.3">
      <c r="D962" s="123"/>
      <c r="E962" s="15"/>
    </row>
    <row r="963" spans="4:5" x14ac:dyDescent="0.3">
      <c r="D963" s="123"/>
      <c r="E963" s="15"/>
    </row>
    <row r="964" spans="4:5" x14ac:dyDescent="0.3">
      <c r="D964" s="123"/>
      <c r="E964" s="15"/>
    </row>
    <row r="965" spans="4:5" x14ac:dyDescent="0.3">
      <c r="D965" s="123"/>
      <c r="E965" s="15"/>
    </row>
    <row r="966" spans="4:5" x14ac:dyDescent="0.3">
      <c r="D966" s="123"/>
      <c r="E966" s="15"/>
    </row>
    <row r="967" spans="4:5" x14ac:dyDescent="0.3">
      <c r="D967" s="123"/>
      <c r="E967" s="15"/>
    </row>
    <row r="968" spans="4:5" x14ac:dyDescent="0.3">
      <c r="D968" s="123"/>
      <c r="E968" s="15"/>
    </row>
    <row r="969" spans="4:5" x14ac:dyDescent="0.3">
      <c r="D969" s="123"/>
      <c r="E969" s="15"/>
    </row>
    <row r="970" spans="4:5" x14ac:dyDescent="0.3">
      <c r="D970" s="123"/>
      <c r="E970" s="15"/>
    </row>
    <row r="971" spans="4:5" x14ac:dyDescent="0.3">
      <c r="D971" s="123"/>
      <c r="E971" s="15"/>
    </row>
    <row r="972" spans="4:5" x14ac:dyDescent="0.3">
      <c r="D972" s="123"/>
      <c r="E972" s="15"/>
    </row>
    <row r="973" spans="4:5" x14ac:dyDescent="0.3">
      <c r="D973" s="123"/>
      <c r="E973" s="15"/>
    </row>
    <row r="974" spans="4:5" x14ac:dyDescent="0.3">
      <c r="D974" s="123"/>
      <c r="E974" s="15"/>
    </row>
    <row r="975" spans="4:5" x14ac:dyDescent="0.3">
      <c r="D975" s="123"/>
      <c r="E975" s="15"/>
    </row>
    <row r="976" spans="4:5" x14ac:dyDescent="0.3">
      <c r="D976" s="123"/>
      <c r="E976" s="15"/>
    </row>
    <row r="977" spans="4:5" x14ac:dyDescent="0.3">
      <c r="D977" s="123"/>
      <c r="E977" s="15"/>
    </row>
    <row r="978" spans="4:5" x14ac:dyDescent="0.3">
      <c r="D978" s="123"/>
      <c r="E978" s="15"/>
    </row>
    <row r="979" spans="4:5" x14ac:dyDescent="0.3">
      <c r="D979" s="123"/>
      <c r="E979" s="15"/>
    </row>
    <row r="980" spans="4:5" x14ac:dyDescent="0.3">
      <c r="D980" s="123"/>
      <c r="E980" s="15"/>
    </row>
    <row r="981" spans="4:5" x14ac:dyDescent="0.3">
      <c r="D981" s="123"/>
      <c r="E981" s="15"/>
    </row>
    <row r="982" spans="4:5" x14ac:dyDescent="0.3">
      <c r="D982" s="123"/>
      <c r="E982" s="15"/>
    </row>
    <row r="983" spans="4:5" x14ac:dyDescent="0.3">
      <c r="D983" s="123"/>
      <c r="E983" s="15"/>
    </row>
    <row r="984" spans="4:5" x14ac:dyDescent="0.3">
      <c r="D984" s="123"/>
      <c r="E984" s="15"/>
    </row>
    <row r="985" spans="4:5" x14ac:dyDescent="0.3">
      <c r="D985" s="123"/>
      <c r="E985" s="15"/>
    </row>
    <row r="986" spans="4:5" x14ac:dyDescent="0.3">
      <c r="D986" s="123"/>
      <c r="E986" s="15"/>
    </row>
    <row r="987" spans="4:5" x14ac:dyDescent="0.3">
      <c r="D987" s="123"/>
      <c r="E987" s="15"/>
    </row>
    <row r="988" spans="4:5" x14ac:dyDescent="0.3">
      <c r="D988" s="123"/>
      <c r="E988" s="15"/>
    </row>
    <row r="989" spans="4:5" x14ac:dyDescent="0.3">
      <c r="D989" s="123"/>
      <c r="E989" s="15"/>
    </row>
    <row r="990" spans="4:5" x14ac:dyDescent="0.3">
      <c r="D990" s="123"/>
      <c r="E990" s="15"/>
    </row>
    <row r="991" spans="4:5" x14ac:dyDescent="0.3">
      <c r="D991" s="123"/>
      <c r="E991" s="15"/>
    </row>
    <row r="992" spans="4:5" x14ac:dyDescent="0.3">
      <c r="D992" s="123"/>
      <c r="E992" s="15"/>
    </row>
    <row r="993" spans="4:5" x14ac:dyDescent="0.3">
      <c r="D993" s="123"/>
      <c r="E993" s="15"/>
    </row>
    <row r="994" spans="4:5" x14ac:dyDescent="0.3">
      <c r="D994" s="123"/>
      <c r="E994" s="15"/>
    </row>
    <row r="995" spans="4:5" x14ac:dyDescent="0.3">
      <c r="D995" s="123"/>
      <c r="E995" s="15"/>
    </row>
    <row r="996" spans="4:5" x14ac:dyDescent="0.3">
      <c r="D996" s="123"/>
      <c r="E996" s="15"/>
    </row>
    <row r="997" spans="4:5" x14ac:dyDescent="0.3">
      <c r="D997" s="123"/>
      <c r="E997" s="15"/>
    </row>
    <row r="998" spans="4:5" x14ac:dyDescent="0.3">
      <c r="D998" s="123"/>
      <c r="E998" s="15"/>
    </row>
    <row r="999" spans="4:5" x14ac:dyDescent="0.3">
      <c r="D999" s="123"/>
      <c r="E999" s="15"/>
    </row>
    <row r="1000" spans="4:5" x14ac:dyDescent="0.3">
      <c r="D1000" s="123"/>
      <c r="E1000" s="15"/>
    </row>
    <row r="1001" spans="4:5" x14ac:dyDescent="0.3">
      <c r="D1001" s="123"/>
      <c r="E1001" s="15"/>
    </row>
    <row r="1002" spans="4:5" x14ac:dyDescent="0.3">
      <c r="D1002" s="123"/>
      <c r="E1002" s="15"/>
    </row>
    <row r="1003" spans="4:5" x14ac:dyDescent="0.3">
      <c r="D1003" s="123"/>
      <c r="E1003" s="15"/>
    </row>
    <row r="1004" spans="4:5" x14ac:dyDescent="0.3">
      <c r="D1004" s="123"/>
      <c r="E1004" s="15"/>
    </row>
    <row r="1005" spans="4:5" x14ac:dyDescent="0.3">
      <c r="D1005" s="123"/>
      <c r="E1005" s="15"/>
    </row>
    <row r="1006" spans="4:5" x14ac:dyDescent="0.3">
      <c r="D1006" s="123"/>
      <c r="E1006" s="15"/>
    </row>
    <row r="1007" spans="4:5" x14ac:dyDescent="0.3">
      <c r="D1007" s="123"/>
      <c r="E1007" s="15"/>
    </row>
    <row r="1008" spans="4:5" x14ac:dyDescent="0.3">
      <c r="D1008" s="123"/>
      <c r="E1008" s="15"/>
    </row>
    <row r="1009" spans="4:5" x14ac:dyDescent="0.3">
      <c r="D1009" s="123"/>
      <c r="E1009" s="15"/>
    </row>
    <row r="1010" spans="4:5" x14ac:dyDescent="0.3">
      <c r="D1010" s="123"/>
      <c r="E1010" s="15"/>
    </row>
    <row r="1011" spans="4:5" x14ac:dyDescent="0.3">
      <c r="D1011" s="123"/>
      <c r="E1011" s="15"/>
    </row>
    <row r="1012" spans="4:5" x14ac:dyDescent="0.3">
      <c r="D1012" s="123"/>
      <c r="E1012" s="15"/>
    </row>
    <row r="1013" spans="4:5" x14ac:dyDescent="0.3">
      <c r="D1013" s="123"/>
      <c r="E1013" s="15"/>
    </row>
    <row r="1014" spans="4:5" x14ac:dyDescent="0.3">
      <c r="D1014" s="123"/>
      <c r="E1014" s="15"/>
    </row>
    <row r="1015" spans="4:5" x14ac:dyDescent="0.3">
      <c r="D1015" s="123"/>
      <c r="E1015" s="15"/>
    </row>
    <row r="1016" spans="4:5" x14ac:dyDescent="0.3">
      <c r="D1016" s="123"/>
      <c r="E1016" s="15"/>
    </row>
    <row r="1017" spans="4:5" x14ac:dyDescent="0.3">
      <c r="D1017" s="123"/>
      <c r="E1017" s="15"/>
    </row>
    <row r="1018" spans="4:5" x14ac:dyDescent="0.3">
      <c r="D1018" s="123"/>
      <c r="E1018" s="15"/>
    </row>
    <row r="1019" spans="4:5" x14ac:dyDescent="0.3">
      <c r="D1019" s="123"/>
      <c r="E1019" s="15"/>
    </row>
    <row r="1020" spans="4:5" x14ac:dyDescent="0.3">
      <c r="D1020" s="123"/>
      <c r="E1020" s="15"/>
    </row>
    <row r="1021" spans="4:5" x14ac:dyDescent="0.3">
      <c r="D1021" s="123"/>
      <c r="E1021" s="15"/>
    </row>
    <row r="1022" spans="4:5" x14ac:dyDescent="0.3">
      <c r="D1022" s="123"/>
      <c r="E1022" s="15"/>
    </row>
    <row r="1023" spans="4:5" x14ac:dyDescent="0.3">
      <c r="D1023" s="123"/>
      <c r="E1023" s="15"/>
    </row>
    <row r="1024" spans="4:5" x14ac:dyDescent="0.3">
      <c r="D1024" s="123"/>
      <c r="E1024" s="15"/>
    </row>
    <row r="1025" spans="4:5" x14ac:dyDescent="0.3">
      <c r="D1025" s="123"/>
      <c r="E1025" s="15"/>
    </row>
    <row r="1026" spans="4:5" x14ac:dyDescent="0.3">
      <c r="D1026" s="123"/>
      <c r="E1026" s="15"/>
    </row>
    <row r="1027" spans="4:5" x14ac:dyDescent="0.3">
      <c r="D1027" s="123"/>
      <c r="E1027" s="15"/>
    </row>
    <row r="1028" spans="4:5" x14ac:dyDescent="0.3">
      <c r="D1028" s="123"/>
      <c r="E1028" s="15"/>
    </row>
    <row r="1029" spans="4:5" x14ac:dyDescent="0.3">
      <c r="D1029" s="123"/>
      <c r="E1029" s="15"/>
    </row>
    <row r="1030" spans="4:5" x14ac:dyDescent="0.3">
      <c r="D1030" s="123"/>
      <c r="E1030" s="15"/>
    </row>
    <row r="1031" spans="4:5" x14ac:dyDescent="0.3">
      <c r="D1031" s="123"/>
      <c r="E1031" s="15"/>
    </row>
    <row r="1032" spans="4:5" x14ac:dyDescent="0.3">
      <c r="D1032" s="123"/>
      <c r="E1032" s="15"/>
    </row>
    <row r="1033" spans="4:5" x14ac:dyDescent="0.3">
      <c r="D1033" s="123"/>
      <c r="E1033" s="15"/>
    </row>
    <row r="1034" spans="4:5" x14ac:dyDescent="0.3">
      <c r="D1034" s="123"/>
      <c r="E1034" s="15"/>
    </row>
    <row r="1035" spans="4:5" x14ac:dyDescent="0.3">
      <c r="D1035" s="123"/>
      <c r="E1035" s="15"/>
    </row>
    <row r="1036" spans="4:5" x14ac:dyDescent="0.3">
      <c r="D1036" s="123"/>
      <c r="E1036" s="15"/>
    </row>
    <row r="1037" spans="4:5" x14ac:dyDescent="0.3">
      <c r="D1037" s="123"/>
      <c r="E1037" s="15"/>
    </row>
    <row r="1038" spans="4:5" x14ac:dyDescent="0.3">
      <c r="D1038" s="123"/>
      <c r="E1038" s="15"/>
    </row>
    <row r="1039" spans="4:5" x14ac:dyDescent="0.3">
      <c r="D1039" s="123"/>
      <c r="E1039" s="15"/>
    </row>
    <row r="1040" spans="4:5" x14ac:dyDescent="0.3">
      <c r="D1040" s="123"/>
      <c r="E1040" s="15"/>
    </row>
    <row r="1041" spans="4:5" x14ac:dyDescent="0.3">
      <c r="D1041" s="123"/>
      <c r="E1041" s="15"/>
    </row>
    <row r="1042" spans="4:5" x14ac:dyDescent="0.3">
      <c r="D1042" s="123"/>
      <c r="E1042" s="15"/>
    </row>
    <row r="1043" spans="4:5" x14ac:dyDescent="0.3">
      <c r="D1043" s="123"/>
      <c r="E1043" s="15"/>
    </row>
    <row r="1044" spans="4:5" x14ac:dyDescent="0.3">
      <c r="D1044" s="123"/>
      <c r="E1044" s="15"/>
    </row>
    <row r="1045" spans="4:5" x14ac:dyDescent="0.3">
      <c r="D1045" s="123"/>
      <c r="E1045" s="15"/>
    </row>
    <row r="1046" spans="4:5" x14ac:dyDescent="0.3">
      <c r="D1046" s="123"/>
      <c r="E1046" s="15"/>
    </row>
    <row r="1047" spans="4:5" x14ac:dyDescent="0.3">
      <c r="D1047" s="123"/>
      <c r="E1047" s="15"/>
    </row>
    <row r="1048" spans="4:5" x14ac:dyDescent="0.3">
      <c r="D1048" s="123"/>
      <c r="E1048" s="15"/>
    </row>
    <row r="1049" spans="4:5" x14ac:dyDescent="0.3">
      <c r="D1049" s="123"/>
      <c r="E1049" s="15"/>
    </row>
    <row r="1050" spans="4:5" x14ac:dyDescent="0.3">
      <c r="D1050" s="123"/>
      <c r="E1050" s="15"/>
    </row>
    <row r="1051" spans="4:5" x14ac:dyDescent="0.3">
      <c r="D1051" s="123"/>
      <c r="E1051" s="15"/>
    </row>
    <row r="1052" spans="4:5" x14ac:dyDescent="0.3">
      <c r="D1052" s="123"/>
      <c r="E1052" s="15"/>
    </row>
    <row r="1053" spans="4:5" x14ac:dyDescent="0.3">
      <c r="D1053" s="123"/>
      <c r="E1053" s="15"/>
    </row>
    <row r="1054" spans="4:5" x14ac:dyDescent="0.3">
      <c r="D1054" s="123"/>
      <c r="E1054" s="15"/>
    </row>
    <row r="1055" spans="4:5" x14ac:dyDescent="0.3">
      <c r="D1055" s="123"/>
      <c r="E1055" s="15"/>
    </row>
    <row r="1056" spans="4:5" x14ac:dyDescent="0.3">
      <c r="D1056" s="123"/>
      <c r="E1056" s="15"/>
    </row>
    <row r="1057" spans="4:5" x14ac:dyDescent="0.3">
      <c r="D1057" s="123"/>
      <c r="E1057" s="15"/>
    </row>
    <row r="1058" spans="4:5" x14ac:dyDescent="0.3">
      <c r="D1058" s="123"/>
      <c r="E1058" s="15"/>
    </row>
    <row r="1059" spans="4:5" x14ac:dyDescent="0.3">
      <c r="D1059" s="123"/>
      <c r="E1059" s="15"/>
    </row>
    <row r="1060" spans="4:5" x14ac:dyDescent="0.3">
      <c r="D1060" s="123"/>
      <c r="E1060" s="15"/>
    </row>
    <row r="1061" spans="4:5" x14ac:dyDescent="0.3">
      <c r="D1061" s="123"/>
      <c r="E1061" s="15"/>
    </row>
    <row r="1062" spans="4:5" x14ac:dyDescent="0.3">
      <c r="D1062" s="123"/>
      <c r="E1062" s="15"/>
    </row>
    <row r="1063" spans="4:5" x14ac:dyDescent="0.3">
      <c r="D1063" s="123"/>
      <c r="E1063" s="15"/>
    </row>
    <row r="1064" spans="4:5" x14ac:dyDescent="0.3">
      <c r="D1064" s="123"/>
      <c r="E1064" s="15"/>
    </row>
    <row r="1065" spans="4:5" x14ac:dyDescent="0.3">
      <c r="D1065" s="123"/>
      <c r="E1065" s="15"/>
    </row>
    <row r="1066" spans="4:5" x14ac:dyDescent="0.3">
      <c r="D1066" s="123"/>
      <c r="E1066" s="15"/>
    </row>
    <row r="1067" spans="4:5" x14ac:dyDescent="0.3">
      <c r="D1067" s="123"/>
      <c r="E1067" s="15"/>
    </row>
    <row r="1068" spans="4:5" x14ac:dyDescent="0.3">
      <c r="D1068" s="123"/>
      <c r="E1068" s="15"/>
    </row>
    <row r="1069" spans="4:5" x14ac:dyDescent="0.3">
      <c r="D1069" s="123"/>
      <c r="E1069" s="15"/>
    </row>
    <row r="1070" spans="4:5" x14ac:dyDescent="0.3">
      <c r="D1070" s="123"/>
      <c r="E1070" s="15"/>
    </row>
    <row r="1071" spans="4:5" x14ac:dyDescent="0.3">
      <c r="D1071" s="123"/>
      <c r="E1071" s="15"/>
    </row>
    <row r="1072" spans="4:5" x14ac:dyDescent="0.3">
      <c r="D1072" s="123"/>
      <c r="E1072" s="15"/>
    </row>
    <row r="1073" spans="4:5" x14ac:dyDescent="0.3">
      <c r="D1073" s="123"/>
      <c r="E1073" s="15"/>
    </row>
    <row r="1074" spans="4:5" x14ac:dyDescent="0.3">
      <c r="D1074" s="123"/>
      <c r="E1074" s="15"/>
    </row>
    <row r="1075" spans="4:5" x14ac:dyDescent="0.3">
      <c r="D1075" s="123"/>
      <c r="E1075" s="15"/>
    </row>
    <row r="1076" spans="4:5" x14ac:dyDescent="0.3">
      <c r="D1076" s="123"/>
      <c r="E1076" s="15"/>
    </row>
    <row r="1077" spans="4:5" x14ac:dyDescent="0.3">
      <c r="D1077" s="123"/>
      <c r="E1077" s="15"/>
    </row>
    <row r="1078" spans="4:5" x14ac:dyDescent="0.3">
      <c r="D1078" s="123"/>
      <c r="E1078" s="15"/>
    </row>
    <row r="1079" spans="4:5" x14ac:dyDescent="0.3">
      <c r="D1079" s="123"/>
      <c r="E1079" s="15"/>
    </row>
    <row r="1080" spans="4:5" x14ac:dyDescent="0.3">
      <c r="D1080" s="123"/>
      <c r="E1080" s="15"/>
    </row>
    <row r="1081" spans="4:5" x14ac:dyDescent="0.3">
      <c r="D1081" s="123"/>
      <c r="E1081" s="15"/>
    </row>
    <row r="1082" spans="4:5" x14ac:dyDescent="0.3">
      <c r="D1082" s="123"/>
      <c r="E1082" s="15"/>
    </row>
    <row r="1083" spans="4:5" x14ac:dyDescent="0.3">
      <c r="D1083" s="123"/>
      <c r="E1083" s="15"/>
    </row>
    <row r="1084" spans="4:5" x14ac:dyDescent="0.3">
      <c r="D1084" s="123"/>
      <c r="E1084" s="15"/>
    </row>
    <row r="1085" spans="4:5" x14ac:dyDescent="0.3">
      <c r="D1085" s="123"/>
      <c r="E1085" s="15"/>
    </row>
    <row r="1086" spans="4:5" x14ac:dyDescent="0.3">
      <c r="D1086" s="123"/>
      <c r="E1086" s="15"/>
    </row>
    <row r="1087" spans="4:5" x14ac:dyDescent="0.3">
      <c r="D1087" s="123"/>
      <c r="E1087" s="15"/>
    </row>
    <row r="1088" spans="4:5" x14ac:dyDescent="0.3">
      <c r="D1088" s="123"/>
      <c r="E1088" s="15"/>
    </row>
    <row r="1089" spans="4:5" x14ac:dyDescent="0.3">
      <c r="D1089" s="123"/>
      <c r="E1089" s="15"/>
    </row>
    <row r="1090" spans="4:5" x14ac:dyDescent="0.3">
      <c r="D1090" s="123"/>
      <c r="E1090" s="15"/>
    </row>
    <row r="1091" spans="4:5" x14ac:dyDescent="0.3">
      <c r="D1091" s="123"/>
      <c r="E1091" s="15"/>
    </row>
    <row r="1092" spans="4:5" x14ac:dyDescent="0.3">
      <c r="D1092" s="123"/>
      <c r="E1092" s="15"/>
    </row>
    <row r="1093" spans="4:5" x14ac:dyDescent="0.3">
      <c r="D1093" s="123"/>
      <c r="E1093" s="15"/>
    </row>
    <row r="1094" spans="4:5" x14ac:dyDescent="0.3">
      <c r="D1094" s="123"/>
      <c r="E1094" s="15"/>
    </row>
    <row r="1095" spans="4:5" x14ac:dyDescent="0.3">
      <c r="D1095" s="123"/>
      <c r="E1095" s="15"/>
    </row>
    <row r="1096" spans="4:5" x14ac:dyDescent="0.3">
      <c r="D1096" s="123"/>
      <c r="E1096" s="15"/>
    </row>
    <row r="1097" spans="4:5" x14ac:dyDescent="0.3">
      <c r="D1097" s="123"/>
      <c r="E1097" s="15"/>
    </row>
    <row r="1098" spans="4:5" x14ac:dyDescent="0.3">
      <c r="D1098" s="123"/>
      <c r="E1098" s="15"/>
    </row>
    <row r="1099" spans="4:5" x14ac:dyDescent="0.3">
      <c r="D1099" s="123"/>
      <c r="E1099" s="15"/>
    </row>
    <row r="1100" spans="4:5" x14ac:dyDescent="0.3">
      <c r="D1100" s="123"/>
      <c r="E1100" s="15"/>
    </row>
    <row r="1101" spans="4:5" x14ac:dyDescent="0.3">
      <c r="D1101" s="123"/>
      <c r="E1101" s="15"/>
    </row>
    <row r="1102" spans="4:5" x14ac:dyDescent="0.3">
      <c r="D1102" s="123"/>
      <c r="E1102" s="15"/>
    </row>
    <row r="1103" spans="4:5" x14ac:dyDescent="0.3">
      <c r="D1103" s="123"/>
      <c r="E1103" s="15"/>
    </row>
    <row r="1104" spans="4:5" x14ac:dyDescent="0.3">
      <c r="D1104" s="123"/>
      <c r="E1104" s="15"/>
    </row>
    <row r="1105" spans="4:5" x14ac:dyDescent="0.3">
      <c r="D1105" s="123"/>
      <c r="E1105" s="15"/>
    </row>
    <row r="1106" spans="4:5" x14ac:dyDescent="0.3">
      <c r="D1106" s="123"/>
      <c r="E1106" s="15"/>
    </row>
    <row r="1107" spans="4:5" x14ac:dyDescent="0.3">
      <c r="D1107" s="123"/>
      <c r="E1107" s="15"/>
    </row>
    <row r="1108" spans="4:5" x14ac:dyDescent="0.3">
      <c r="D1108" s="123"/>
      <c r="E1108" s="15"/>
    </row>
    <row r="1109" spans="4:5" x14ac:dyDescent="0.3">
      <c r="D1109" s="123"/>
      <c r="E1109" s="15"/>
    </row>
    <row r="1110" spans="4:5" x14ac:dyDescent="0.3">
      <c r="D1110" s="123"/>
      <c r="E1110" s="15"/>
    </row>
    <row r="1111" spans="4:5" x14ac:dyDescent="0.3">
      <c r="D1111" s="123"/>
      <c r="E1111" s="15"/>
    </row>
    <row r="1112" spans="4:5" x14ac:dyDescent="0.3">
      <c r="D1112" s="123"/>
      <c r="E1112" s="15"/>
    </row>
    <row r="1113" spans="4:5" x14ac:dyDescent="0.3">
      <c r="D1113" s="123"/>
      <c r="E1113" s="15"/>
    </row>
    <row r="1114" spans="4:5" x14ac:dyDescent="0.3">
      <c r="D1114" s="123"/>
      <c r="E1114" s="15"/>
    </row>
    <row r="1115" spans="4:5" x14ac:dyDescent="0.3">
      <c r="D1115" s="123"/>
      <c r="E1115" s="15"/>
    </row>
    <row r="1116" spans="4:5" x14ac:dyDescent="0.3">
      <c r="D1116" s="123"/>
      <c r="E1116" s="15"/>
    </row>
    <row r="1117" spans="4:5" x14ac:dyDescent="0.3">
      <c r="D1117" s="123"/>
      <c r="E1117" s="15"/>
    </row>
    <row r="1118" spans="4:5" x14ac:dyDescent="0.3">
      <c r="D1118" s="123"/>
      <c r="E1118" s="15"/>
    </row>
    <row r="1119" spans="4:5" x14ac:dyDescent="0.3">
      <c r="D1119" s="123"/>
      <c r="E1119" s="15"/>
    </row>
    <row r="1120" spans="4:5" x14ac:dyDescent="0.3">
      <c r="D1120" s="123"/>
      <c r="E1120" s="15"/>
    </row>
    <row r="1121" spans="4:5" x14ac:dyDescent="0.3">
      <c r="D1121" s="123"/>
      <c r="E1121" s="15"/>
    </row>
    <row r="1122" spans="4:5" x14ac:dyDescent="0.3">
      <c r="D1122" s="123"/>
      <c r="E1122" s="15"/>
    </row>
    <row r="1123" spans="4:5" x14ac:dyDescent="0.3">
      <c r="D1123" s="123"/>
      <c r="E1123" s="15"/>
    </row>
    <row r="1124" spans="4:5" x14ac:dyDescent="0.3">
      <c r="D1124" s="123"/>
      <c r="E1124" s="15"/>
    </row>
    <row r="1125" spans="4:5" x14ac:dyDescent="0.3">
      <c r="D1125" s="123"/>
      <c r="E1125" s="15"/>
    </row>
    <row r="1126" spans="4:5" x14ac:dyDescent="0.3">
      <c r="D1126" s="123"/>
      <c r="E1126" s="15"/>
    </row>
    <row r="1127" spans="4:5" x14ac:dyDescent="0.3">
      <c r="D1127" s="123"/>
      <c r="E1127" s="15"/>
    </row>
    <row r="1128" spans="4:5" x14ac:dyDescent="0.3">
      <c r="D1128" s="123"/>
      <c r="E1128" s="15"/>
    </row>
    <row r="1129" spans="4:5" x14ac:dyDescent="0.3">
      <c r="D1129" s="123"/>
      <c r="E1129" s="15"/>
    </row>
    <row r="1130" spans="4:5" x14ac:dyDescent="0.3">
      <c r="D1130" s="123"/>
      <c r="E1130" s="15"/>
    </row>
    <row r="1131" spans="4:5" x14ac:dyDescent="0.3">
      <c r="D1131" s="123"/>
      <c r="E1131" s="15"/>
    </row>
    <row r="1132" spans="4:5" x14ac:dyDescent="0.3">
      <c r="D1132" s="123"/>
      <c r="E1132" s="15"/>
    </row>
    <row r="1133" spans="4:5" x14ac:dyDescent="0.3">
      <c r="D1133" s="123"/>
      <c r="E1133" s="15"/>
    </row>
    <row r="1134" spans="4:5" x14ac:dyDescent="0.3">
      <c r="D1134" s="123"/>
      <c r="E1134" s="15"/>
    </row>
    <row r="1135" spans="4:5" x14ac:dyDescent="0.3">
      <c r="D1135" s="123"/>
      <c r="E1135" s="15"/>
    </row>
    <row r="1136" spans="4:5" x14ac:dyDescent="0.3">
      <c r="D1136" s="123"/>
      <c r="E1136" s="15"/>
    </row>
    <row r="1137" spans="4:5" x14ac:dyDescent="0.3">
      <c r="D1137" s="123"/>
      <c r="E1137" s="15"/>
    </row>
    <row r="1138" spans="4:5" x14ac:dyDescent="0.3">
      <c r="D1138" s="123"/>
      <c r="E1138" s="15"/>
    </row>
    <row r="1139" spans="4:5" x14ac:dyDescent="0.3">
      <c r="D1139" s="123"/>
      <c r="E1139" s="15"/>
    </row>
    <row r="1140" spans="4:5" x14ac:dyDescent="0.3">
      <c r="D1140" s="123"/>
      <c r="E1140" s="15"/>
    </row>
    <row r="1141" spans="4:5" x14ac:dyDescent="0.3">
      <c r="D1141" s="123"/>
      <c r="E1141" s="15"/>
    </row>
    <row r="1142" spans="4:5" x14ac:dyDescent="0.3">
      <c r="D1142" s="123"/>
      <c r="E1142" s="15"/>
    </row>
    <row r="1143" spans="4:5" x14ac:dyDescent="0.3">
      <c r="D1143" s="123"/>
      <c r="E1143" s="15"/>
    </row>
    <row r="1144" spans="4:5" x14ac:dyDescent="0.3">
      <c r="D1144" s="123"/>
      <c r="E1144" s="15"/>
    </row>
    <row r="1145" spans="4:5" x14ac:dyDescent="0.3">
      <c r="D1145" s="123"/>
      <c r="E1145" s="15"/>
    </row>
    <row r="1146" spans="4:5" x14ac:dyDescent="0.3">
      <c r="D1146" s="123"/>
      <c r="E1146" s="15"/>
    </row>
    <row r="1147" spans="4:5" x14ac:dyDescent="0.3">
      <c r="D1147" s="123"/>
      <c r="E1147" s="15"/>
    </row>
    <row r="1148" spans="4:5" x14ac:dyDescent="0.3">
      <c r="D1148" s="123"/>
      <c r="E1148" s="15"/>
    </row>
    <row r="1149" spans="4:5" x14ac:dyDescent="0.3">
      <c r="D1149" s="123"/>
      <c r="E1149" s="15"/>
    </row>
    <row r="1150" spans="4:5" x14ac:dyDescent="0.3">
      <c r="D1150" s="123"/>
      <c r="E1150" s="15"/>
    </row>
    <row r="1151" spans="4:5" x14ac:dyDescent="0.3">
      <c r="D1151" s="123"/>
      <c r="E1151" s="15"/>
    </row>
    <row r="1152" spans="4:5" x14ac:dyDescent="0.3">
      <c r="D1152" s="123"/>
      <c r="E1152" s="15"/>
    </row>
    <row r="1153" spans="4:5" x14ac:dyDescent="0.3">
      <c r="D1153" s="123"/>
      <c r="E1153" s="15"/>
    </row>
    <row r="1154" spans="4:5" x14ac:dyDescent="0.3">
      <c r="D1154" s="123"/>
      <c r="E1154" s="15"/>
    </row>
    <row r="1155" spans="4:5" x14ac:dyDescent="0.3">
      <c r="D1155" s="123"/>
      <c r="E1155" s="15"/>
    </row>
    <row r="1156" spans="4:5" x14ac:dyDescent="0.3">
      <c r="D1156" s="123"/>
      <c r="E1156" s="15"/>
    </row>
    <row r="1157" spans="4:5" x14ac:dyDescent="0.3">
      <c r="D1157" s="123"/>
      <c r="E1157" s="15"/>
    </row>
    <row r="1158" spans="4:5" x14ac:dyDescent="0.3">
      <c r="D1158" s="123"/>
      <c r="E1158" s="15"/>
    </row>
    <row r="1159" spans="4:5" x14ac:dyDescent="0.3">
      <c r="D1159" s="123"/>
      <c r="E1159" s="15"/>
    </row>
    <row r="1160" spans="4:5" x14ac:dyDescent="0.3">
      <c r="D1160" s="123"/>
      <c r="E1160" s="15"/>
    </row>
    <row r="1161" spans="4:5" x14ac:dyDescent="0.3">
      <c r="D1161" s="123"/>
      <c r="E1161" s="15"/>
    </row>
    <row r="1162" spans="4:5" x14ac:dyDescent="0.3">
      <c r="D1162" s="123"/>
      <c r="E1162" s="15"/>
    </row>
    <row r="1163" spans="4:5" x14ac:dyDescent="0.3">
      <c r="D1163" s="123"/>
      <c r="E1163" s="15"/>
    </row>
    <row r="1164" spans="4:5" x14ac:dyDescent="0.3">
      <c r="D1164" s="123"/>
      <c r="E1164" s="15"/>
    </row>
    <row r="1165" spans="4:5" x14ac:dyDescent="0.3">
      <c r="D1165" s="123"/>
      <c r="E1165" s="15"/>
    </row>
    <row r="1166" spans="4:5" x14ac:dyDescent="0.3">
      <c r="D1166" s="123"/>
      <c r="E1166" s="15"/>
    </row>
    <row r="1167" spans="4:5" x14ac:dyDescent="0.3">
      <c r="D1167" s="123"/>
      <c r="E1167" s="15"/>
    </row>
    <row r="1168" spans="4:5" x14ac:dyDescent="0.3">
      <c r="D1168" s="123"/>
      <c r="E1168" s="15"/>
    </row>
    <row r="1169" spans="4:5" x14ac:dyDescent="0.3">
      <c r="D1169" s="123"/>
      <c r="E1169" s="15"/>
    </row>
    <row r="1170" spans="4:5" x14ac:dyDescent="0.3">
      <c r="D1170" s="123"/>
      <c r="E1170" s="15"/>
    </row>
    <row r="1171" spans="4:5" x14ac:dyDescent="0.3">
      <c r="D1171" s="123"/>
      <c r="E1171" s="15"/>
    </row>
    <row r="1172" spans="4:5" x14ac:dyDescent="0.3">
      <c r="D1172" s="123"/>
      <c r="E1172" s="15"/>
    </row>
    <row r="1173" spans="4:5" x14ac:dyDescent="0.3">
      <c r="D1173" s="123"/>
      <c r="E1173" s="15"/>
    </row>
    <row r="1174" spans="4:5" x14ac:dyDescent="0.3">
      <c r="D1174" s="123"/>
      <c r="E1174" s="15"/>
    </row>
    <row r="1175" spans="4:5" x14ac:dyDescent="0.3">
      <c r="D1175" s="123"/>
      <c r="E1175" s="15"/>
    </row>
    <row r="1176" spans="4:5" x14ac:dyDescent="0.3">
      <c r="D1176" s="123"/>
      <c r="E1176" s="15"/>
    </row>
    <row r="1177" spans="4:5" x14ac:dyDescent="0.3">
      <c r="D1177" s="123"/>
      <c r="E1177" s="15"/>
    </row>
    <row r="1178" spans="4:5" x14ac:dyDescent="0.3">
      <c r="D1178" s="123"/>
      <c r="E1178" s="15"/>
    </row>
    <row r="1179" spans="4:5" x14ac:dyDescent="0.3">
      <c r="D1179" s="123"/>
      <c r="E1179" s="15"/>
    </row>
    <row r="1180" spans="4:5" x14ac:dyDescent="0.3">
      <c r="D1180" s="123"/>
      <c r="E1180" s="15"/>
    </row>
    <row r="1181" spans="4:5" x14ac:dyDescent="0.3">
      <c r="D1181" s="123"/>
      <c r="E1181" s="15"/>
    </row>
    <row r="1182" spans="4:5" x14ac:dyDescent="0.3">
      <c r="D1182" s="123"/>
      <c r="E1182" s="15"/>
    </row>
    <row r="1183" spans="4:5" x14ac:dyDescent="0.3">
      <c r="D1183" s="123"/>
      <c r="E1183" s="15"/>
    </row>
    <row r="1184" spans="4:5" x14ac:dyDescent="0.3">
      <c r="D1184" s="123"/>
      <c r="E1184" s="15"/>
    </row>
    <row r="1185" spans="4:5" x14ac:dyDescent="0.3">
      <c r="D1185" s="123"/>
      <c r="E1185" s="15"/>
    </row>
    <row r="1186" spans="4:5" x14ac:dyDescent="0.3">
      <c r="D1186" s="123"/>
      <c r="E1186" s="15"/>
    </row>
    <row r="1187" spans="4:5" x14ac:dyDescent="0.3">
      <c r="D1187" s="123"/>
      <c r="E1187" s="15"/>
    </row>
    <row r="1188" spans="4:5" x14ac:dyDescent="0.3">
      <c r="D1188" s="123"/>
      <c r="E1188" s="15"/>
    </row>
    <row r="1189" spans="4:5" x14ac:dyDescent="0.3">
      <c r="D1189" s="123"/>
      <c r="E1189" s="15"/>
    </row>
    <row r="1190" spans="4:5" x14ac:dyDescent="0.3">
      <c r="D1190" s="123"/>
      <c r="E1190" s="15"/>
    </row>
    <row r="1191" spans="4:5" x14ac:dyDescent="0.3">
      <c r="D1191" s="123"/>
      <c r="E1191" s="15"/>
    </row>
    <row r="1192" spans="4:5" x14ac:dyDescent="0.3">
      <c r="D1192" s="123"/>
      <c r="E1192" s="15"/>
    </row>
    <row r="1193" spans="4:5" x14ac:dyDescent="0.3">
      <c r="D1193" s="123"/>
      <c r="E1193" s="15"/>
    </row>
    <row r="1194" spans="4:5" x14ac:dyDescent="0.3">
      <c r="D1194" s="123"/>
      <c r="E1194" s="15"/>
    </row>
    <row r="1195" spans="4:5" x14ac:dyDescent="0.3">
      <c r="D1195" s="123"/>
      <c r="E1195" s="15"/>
    </row>
    <row r="1196" spans="4:5" x14ac:dyDescent="0.3">
      <c r="D1196" s="123"/>
      <c r="E1196" s="15"/>
    </row>
    <row r="1197" spans="4:5" x14ac:dyDescent="0.3">
      <c r="D1197" s="123"/>
      <c r="E1197" s="15"/>
    </row>
    <row r="1198" spans="4:5" x14ac:dyDescent="0.3">
      <c r="D1198" s="123"/>
      <c r="E1198" s="15"/>
    </row>
    <row r="1199" spans="4:5" x14ac:dyDescent="0.3">
      <c r="D1199" s="123"/>
      <c r="E1199" s="15"/>
    </row>
    <row r="1200" spans="4:5" x14ac:dyDescent="0.3">
      <c r="D1200" s="123"/>
      <c r="E1200" s="15"/>
    </row>
    <row r="1201" spans="4:5" x14ac:dyDescent="0.3">
      <c r="D1201" s="123"/>
      <c r="E1201" s="15"/>
    </row>
    <row r="1202" spans="4:5" x14ac:dyDescent="0.3">
      <c r="D1202" s="123"/>
      <c r="E1202" s="15"/>
    </row>
    <row r="1203" spans="4:5" x14ac:dyDescent="0.3">
      <c r="D1203" s="123"/>
      <c r="E1203" s="15"/>
    </row>
    <row r="1204" spans="4:5" x14ac:dyDescent="0.3">
      <c r="D1204" s="123"/>
      <c r="E1204" s="15"/>
    </row>
    <row r="1205" spans="4:5" x14ac:dyDescent="0.3">
      <c r="D1205" s="123"/>
      <c r="E1205" s="15"/>
    </row>
    <row r="1206" spans="4:5" x14ac:dyDescent="0.3">
      <c r="D1206" s="123"/>
      <c r="E1206" s="15"/>
    </row>
    <row r="1207" spans="4:5" x14ac:dyDescent="0.3">
      <c r="D1207" s="123"/>
      <c r="E1207" s="15"/>
    </row>
    <row r="1208" spans="4:5" x14ac:dyDescent="0.3">
      <c r="D1208" s="123"/>
      <c r="E1208" s="15"/>
    </row>
    <row r="1209" spans="4:5" x14ac:dyDescent="0.3">
      <c r="D1209" s="123"/>
      <c r="E1209" s="15"/>
    </row>
    <row r="1210" spans="4:5" x14ac:dyDescent="0.3">
      <c r="D1210" s="123"/>
      <c r="E1210" s="15"/>
    </row>
    <row r="1211" spans="4:5" x14ac:dyDescent="0.3">
      <c r="D1211" s="123"/>
      <c r="E1211" s="15"/>
    </row>
    <row r="1212" spans="4:5" x14ac:dyDescent="0.3">
      <c r="D1212" s="123"/>
      <c r="E1212" s="15"/>
    </row>
    <row r="1213" spans="4:5" x14ac:dyDescent="0.3">
      <c r="D1213" s="123"/>
      <c r="E1213" s="15"/>
    </row>
    <row r="1214" spans="4:5" x14ac:dyDescent="0.3">
      <c r="D1214" s="123"/>
      <c r="E1214" s="15"/>
    </row>
    <row r="1215" spans="4:5" x14ac:dyDescent="0.3">
      <c r="D1215" s="123"/>
      <c r="E1215" s="15"/>
    </row>
    <row r="1216" spans="4:5" x14ac:dyDescent="0.3">
      <c r="D1216" s="123"/>
      <c r="E1216" s="15"/>
    </row>
    <row r="1217" spans="4:5" x14ac:dyDescent="0.3">
      <c r="D1217" s="123"/>
      <c r="E1217" s="15"/>
    </row>
    <row r="1218" spans="4:5" x14ac:dyDescent="0.3">
      <c r="D1218" s="123"/>
      <c r="E1218" s="15"/>
    </row>
    <row r="1219" spans="4:5" x14ac:dyDescent="0.3">
      <c r="D1219" s="123"/>
      <c r="E1219" s="15"/>
    </row>
    <row r="1220" spans="4:5" x14ac:dyDescent="0.3">
      <c r="D1220" s="123"/>
      <c r="E1220" s="15"/>
    </row>
    <row r="1221" spans="4:5" x14ac:dyDescent="0.3">
      <c r="D1221" s="123"/>
      <c r="E1221" s="15"/>
    </row>
    <row r="1222" spans="4:5" x14ac:dyDescent="0.3">
      <c r="D1222" s="123"/>
      <c r="E1222" s="15"/>
    </row>
    <row r="1223" spans="4:5" x14ac:dyDescent="0.3">
      <c r="D1223" s="123"/>
      <c r="E1223" s="15"/>
    </row>
    <row r="1224" spans="4:5" x14ac:dyDescent="0.3">
      <c r="D1224" s="123"/>
      <c r="E1224" s="15"/>
    </row>
    <row r="1225" spans="4:5" x14ac:dyDescent="0.3">
      <c r="D1225" s="123"/>
      <c r="E1225" s="15"/>
    </row>
    <row r="1226" spans="4:5" x14ac:dyDescent="0.3">
      <c r="D1226" s="123"/>
      <c r="E1226" s="15"/>
    </row>
    <row r="1227" spans="4:5" x14ac:dyDescent="0.3">
      <c r="D1227" s="123"/>
      <c r="E1227" s="15"/>
    </row>
    <row r="1228" spans="4:5" x14ac:dyDescent="0.3">
      <c r="D1228" s="123"/>
      <c r="E1228" s="15"/>
    </row>
    <row r="1229" spans="4:5" x14ac:dyDescent="0.3">
      <c r="D1229" s="123"/>
      <c r="E1229" s="15"/>
    </row>
    <row r="1230" spans="4:5" x14ac:dyDescent="0.3">
      <c r="D1230" s="123"/>
      <c r="E1230" s="15"/>
    </row>
    <row r="1231" spans="4:5" x14ac:dyDescent="0.3">
      <c r="D1231" s="123"/>
      <c r="E1231" s="15"/>
    </row>
    <row r="1232" spans="4:5" x14ac:dyDescent="0.3">
      <c r="D1232" s="123"/>
      <c r="E1232" s="15"/>
    </row>
    <row r="1233" spans="4:5" x14ac:dyDescent="0.3">
      <c r="D1233" s="123"/>
      <c r="E1233" s="15"/>
    </row>
    <row r="1234" spans="4:5" x14ac:dyDescent="0.3">
      <c r="D1234" s="123"/>
      <c r="E1234" s="15"/>
    </row>
    <row r="1235" spans="4:5" x14ac:dyDescent="0.3">
      <c r="D1235" s="123"/>
      <c r="E1235" s="15"/>
    </row>
    <row r="1236" spans="4:5" x14ac:dyDescent="0.3">
      <c r="D1236" s="123"/>
      <c r="E1236" s="15"/>
    </row>
    <row r="1237" spans="4:5" x14ac:dyDescent="0.3">
      <c r="D1237" s="123"/>
      <c r="E1237" s="15"/>
    </row>
    <row r="1238" spans="4:5" x14ac:dyDescent="0.3">
      <c r="D1238" s="123"/>
      <c r="E1238" s="15"/>
    </row>
    <row r="1239" spans="4:5" x14ac:dyDescent="0.3">
      <c r="D1239" s="123"/>
      <c r="E1239" s="15"/>
    </row>
    <row r="1240" spans="4:5" x14ac:dyDescent="0.3">
      <c r="D1240" s="123"/>
      <c r="E1240" s="15"/>
    </row>
    <row r="1241" spans="4:5" x14ac:dyDescent="0.3">
      <c r="D1241" s="123"/>
      <c r="E1241" s="15"/>
    </row>
    <row r="1242" spans="4:5" x14ac:dyDescent="0.3">
      <c r="D1242" s="123"/>
      <c r="E1242" s="15"/>
    </row>
    <row r="1243" spans="4:5" x14ac:dyDescent="0.3">
      <c r="D1243" s="123"/>
      <c r="E1243" s="15"/>
    </row>
    <row r="1244" spans="4:5" x14ac:dyDescent="0.3">
      <c r="D1244" s="123"/>
      <c r="E1244" s="15"/>
    </row>
    <row r="1245" spans="4:5" x14ac:dyDescent="0.3">
      <c r="D1245" s="123"/>
      <c r="E1245" s="15"/>
    </row>
    <row r="1246" spans="4:5" x14ac:dyDescent="0.3">
      <c r="D1246" s="123"/>
      <c r="E1246" s="15"/>
    </row>
    <row r="1247" spans="4:5" x14ac:dyDescent="0.3">
      <c r="D1247" s="123"/>
      <c r="E1247" s="15"/>
    </row>
    <row r="1248" spans="4:5" x14ac:dyDescent="0.3">
      <c r="D1248" s="123"/>
      <c r="E1248" s="15"/>
    </row>
    <row r="1249" spans="4:5" x14ac:dyDescent="0.3">
      <c r="D1249" s="123"/>
      <c r="E1249" s="15"/>
    </row>
    <row r="1250" spans="4:5" x14ac:dyDescent="0.3">
      <c r="D1250" s="123"/>
      <c r="E1250" s="15"/>
    </row>
    <row r="1251" spans="4:5" x14ac:dyDescent="0.3">
      <c r="D1251" s="123"/>
      <c r="E1251" s="15"/>
    </row>
    <row r="1252" spans="4:5" x14ac:dyDescent="0.3">
      <c r="D1252" s="123"/>
      <c r="E1252" s="15"/>
    </row>
    <row r="1253" spans="4:5" x14ac:dyDescent="0.3">
      <c r="D1253" s="123"/>
      <c r="E1253" s="15"/>
    </row>
    <row r="1254" spans="4:5" x14ac:dyDescent="0.3">
      <c r="D1254" s="123"/>
      <c r="E1254" s="15"/>
    </row>
    <row r="1255" spans="4:5" x14ac:dyDescent="0.3">
      <c r="D1255" s="123"/>
      <c r="E1255" s="15"/>
    </row>
    <row r="1256" spans="4:5" x14ac:dyDescent="0.3">
      <c r="D1256" s="123"/>
      <c r="E1256" s="15"/>
    </row>
    <row r="1257" spans="4:5" x14ac:dyDescent="0.3">
      <c r="D1257" s="123"/>
      <c r="E1257" s="15"/>
    </row>
    <row r="1258" spans="4:5" x14ac:dyDescent="0.3">
      <c r="D1258" s="123"/>
      <c r="E1258" s="15"/>
    </row>
    <row r="1259" spans="4:5" x14ac:dyDescent="0.3">
      <c r="D1259" s="123"/>
      <c r="E1259" s="15"/>
    </row>
    <row r="1260" spans="4:5" x14ac:dyDescent="0.3">
      <c r="D1260" s="123"/>
      <c r="E1260" s="15"/>
    </row>
    <row r="1261" spans="4:5" x14ac:dyDescent="0.3">
      <c r="D1261" s="123"/>
      <c r="E1261" s="15"/>
    </row>
    <row r="1262" spans="4:5" x14ac:dyDescent="0.3">
      <c r="D1262" s="123"/>
      <c r="E1262" s="15"/>
    </row>
    <row r="1263" spans="4:5" x14ac:dyDescent="0.3">
      <c r="D1263" s="123"/>
      <c r="E1263" s="15"/>
    </row>
    <row r="1264" spans="4:5" x14ac:dyDescent="0.3">
      <c r="D1264" s="123"/>
      <c r="E1264" s="15"/>
    </row>
    <row r="1265" spans="4:5" x14ac:dyDescent="0.3">
      <c r="D1265" s="123"/>
      <c r="E1265" s="15"/>
    </row>
    <row r="1266" spans="4:5" x14ac:dyDescent="0.3">
      <c r="D1266" s="123"/>
      <c r="E1266" s="15"/>
    </row>
    <row r="1267" spans="4:5" x14ac:dyDescent="0.3">
      <c r="D1267" s="123"/>
      <c r="E1267" s="15"/>
    </row>
    <row r="1268" spans="4:5" x14ac:dyDescent="0.3">
      <c r="D1268" s="123"/>
      <c r="E1268" s="15"/>
    </row>
    <row r="1269" spans="4:5" x14ac:dyDescent="0.3">
      <c r="D1269" s="123"/>
      <c r="E1269" s="15"/>
    </row>
    <row r="1270" spans="4:5" x14ac:dyDescent="0.3">
      <c r="D1270" s="123"/>
      <c r="E1270" s="15"/>
    </row>
    <row r="1271" spans="4:5" x14ac:dyDescent="0.3">
      <c r="D1271" s="123"/>
      <c r="E1271" s="15"/>
    </row>
    <row r="1272" spans="4:5" x14ac:dyDescent="0.3">
      <c r="D1272" s="123"/>
      <c r="E1272" s="15"/>
    </row>
    <row r="1273" spans="4:5" x14ac:dyDescent="0.3">
      <c r="D1273" s="123"/>
      <c r="E1273" s="15"/>
    </row>
    <row r="1274" spans="4:5" x14ac:dyDescent="0.3">
      <c r="D1274" s="123"/>
      <c r="E1274" s="15"/>
    </row>
    <row r="1275" spans="4:5" x14ac:dyDescent="0.3">
      <c r="D1275" s="123"/>
      <c r="E1275" s="15"/>
    </row>
    <row r="1276" spans="4:5" x14ac:dyDescent="0.3">
      <c r="D1276" s="123"/>
      <c r="E1276" s="15"/>
    </row>
    <row r="1277" spans="4:5" x14ac:dyDescent="0.3">
      <c r="D1277" s="123"/>
      <c r="E1277" s="15"/>
    </row>
    <row r="1278" spans="4:5" x14ac:dyDescent="0.3">
      <c r="D1278" s="123"/>
      <c r="E1278" s="15"/>
    </row>
    <row r="1279" spans="4:5" x14ac:dyDescent="0.3">
      <c r="D1279" s="123"/>
      <c r="E1279" s="15"/>
    </row>
    <row r="1280" spans="4:5" x14ac:dyDescent="0.3">
      <c r="D1280" s="123"/>
      <c r="E1280" s="15"/>
    </row>
    <row r="1281" spans="4:5" x14ac:dyDescent="0.3">
      <c r="D1281" s="123"/>
      <c r="E1281" s="15"/>
    </row>
    <row r="1282" spans="4:5" x14ac:dyDescent="0.3">
      <c r="D1282" s="123"/>
      <c r="E1282" s="15"/>
    </row>
    <row r="1283" spans="4:5" x14ac:dyDescent="0.3">
      <c r="D1283" s="123"/>
      <c r="E1283" s="15"/>
    </row>
    <row r="1284" spans="4:5" x14ac:dyDescent="0.3">
      <c r="D1284" s="123"/>
      <c r="E1284" s="15"/>
    </row>
    <row r="1285" spans="4:5" x14ac:dyDescent="0.3">
      <c r="D1285" s="123"/>
      <c r="E1285" s="15"/>
    </row>
    <row r="1286" spans="4:5" x14ac:dyDescent="0.3">
      <c r="D1286" s="123"/>
      <c r="E1286" s="15"/>
    </row>
    <row r="1287" spans="4:5" x14ac:dyDescent="0.3">
      <c r="D1287" s="123"/>
      <c r="E1287" s="15"/>
    </row>
    <row r="1288" spans="4:5" x14ac:dyDescent="0.3">
      <c r="D1288" s="123"/>
      <c r="E1288" s="15"/>
    </row>
    <row r="1289" spans="4:5" x14ac:dyDescent="0.3">
      <c r="D1289" s="123"/>
      <c r="E1289" s="15"/>
    </row>
    <row r="1290" spans="4:5" x14ac:dyDescent="0.3">
      <c r="D1290" s="123"/>
      <c r="E1290" s="15"/>
    </row>
    <row r="1291" spans="4:5" x14ac:dyDescent="0.3">
      <c r="D1291" s="123"/>
      <c r="E1291" s="15"/>
    </row>
    <row r="1292" spans="4:5" x14ac:dyDescent="0.3">
      <c r="D1292" s="123"/>
      <c r="E1292" s="15"/>
    </row>
    <row r="1293" spans="4:5" x14ac:dyDescent="0.3">
      <c r="D1293" s="123"/>
      <c r="E1293" s="15"/>
    </row>
    <row r="1294" spans="4:5" x14ac:dyDescent="0.3">
      <c r="D1294" s="123"/>
      <c r="E1294" s="15"/>
    </row>
    <row r="1295" spans="4:5" x14ac:dyDescent="0.3">
      <c r="D1295" s="123"/>
      <c r="E1295" s="15"/>
    </row>
    <row r="1296" spans="4:5" x14ac:dyDescent="0.3">
      <c r="D1296" s="123"/>
      <c r="E1296" s="15"/>
    </row>
    <row r="1297" spans="4:5" x14ac:dyDescent="0.3">
      <c r="D1297" s="123"/>
      <c r="E1297" s="15"/>
    </row>
    <row r="1298" spans="4:5" x14ac:dyDescent="0.3">
      <c r="D1298" s="123"/>
      <c r="E1298" s="15"/>
    </row>
    <row r="1299" spans="4:5" x14ac:dyDescent="0.3">
      <c r="D1299" s="123"/>
      <c r="E1299" s="15"/>
    </row>
    <row r="1300" spans="4:5" x14ac:dyDescent="0.3">
      <c r="D1300" s="123"/>
      <c r="E1300" s="15"/>
    </row>
    <row r="1301" spans="4:5" x14ac:dyDescent="0.3">
      <c r="D1301" s="123"/>
      <c r="E1301" s="15"/>
    </row>
    <row r="1302" spans="4:5" x14ac:dyDescent="0.3">
      <c r="D1302" s="123"/>
      <c r="E1302" s="15"/>
    </row>
    <row r="1303" spans="4:5" x14ac:dyDescent="0.3">
      <c r="D1303" s="123"/>
      <c r="E1303" s="15"/>
    </row>
    <row r="1304" spans="4:5" x14ac:dyDescent="0.3">
      <c r="D1304" s="123"/>
      <c r="E1304" s="15"/>
    </row>
    <row r="1305" spans="4:5" x14ac:dyDescent="0.3">
      <c r="D1305" s="123"/>
      <c r="E1305" s="15"/>
    </row>
    <row r="1306" spans="4:5" x14ac:dyDescent="0.3">
      <c r="D1306" s="123"/>
      <c r="E1306" s="15"/>
    </row>
    <row r="1307" spans="4:5" x14ac:dyDescent="0.3">
      <c r="D1307" s="123"/>
      <c r="E1307" s="15"/>
    </row>
    <row r="1308" spans="4:5" x14ac:dyDescent="0.3">
      <c r="D1308" s="123"/>
      <c r="E1308" s="15"/>
    </row>
    <row r="1309" spans="4:5" x14ac:dyDescent="0.3">
      <c r="D1309" s="123"/>
      <c r="E1309" s="15"/>
    </row>
    <row r="1310" spans="4:5" x14ac:dyDescent="0.3">
      <c r="D1310" s="123"/>
      <c r="E1310" s="15"/>
    </row>
    <row r="1311" spans="4:5" x14ac:dyDescent="0.3">
      <c r="D1311" s="123"/>
      <c r="E1311" s="15"/>
    </row>
    <row r="1312" spans="4:5" x14ac:dyDescent="0.3">
      <c r="D1312" s="123"/>
      <c r="E1312" s="15"/>
    </row>
    <row r="1313" spans="4:5" x14ac:dyDescent="0.3">
      <c r="D1313" s="123"/>
      <c r="E1313" s="15"/>
    </row>
    <row r="1314" spans="4:5" x14ac:dyDescent="0.3">
      <c r="D1314" s="123"/>
      <c r="E1314" s="15"/>
    </row>
    <row r="1315" spans="4:5" x14ac:dyDescent="0.3">
      <c r="D1315" s="123"/>
      <c r="E1315" s="15"/>
    </row>
    <row r="1316" spans="4:5" x14ac:dyDescent="0.3">
      <c r="D1316" s="123"/>
      <c r="E1316" s="15"/>
    </row>
    <row r="1317" spans="4:5" x14ac:dyDescent="0.3">
      <c r="D1317" s="123"/>
      <c r="E1317" s="15"/>
    </row>
    <row r="1318" spans="4:5" x14ac:dyDescent="0.3">
      <c r="D1318" s="123"/>
      <c r="E1318" s="15"/>
    </row>
    <row r="1319" spans="4:5" x14ac:dyDescent="0.3">
      <c r="D1319" s="123"/>
      <c r="E1319" s="15"/>
    </row>
    <row r="1320" spans="4:5" x14ac:dyDescent="0.3">
      <c r="D1320" s="123"/>
      <c r="E1320" s="15"/>
    </row>
    <row r="1321" spans="4:5" x14ac:dyDescent="0.3">
      <c r="D1321" s="123"/>
      <c r="E1321" s="15"/>
    </row>
    <row r="1322" spans="4:5" x14ac:dyDescent="0.3">
      <c r="D1322" s="123"/>
      <c r="E1322" s="15"/>
    </row>
    <row r="1323" spans="4:5" x14ac:dyDescent="0.3">
      <c r="D1323" s="123"/>
      <c r="E1323" s="15"/>
    </row>
    <row r="1324" spans="4:5" x14ac:dyDescent="0.3">
      <c r="D1324" s="123"/>
      <c r="E1324" s="15"/>
    </row>
    <row r="1325" spans="4:5" x14ac:dyDescent="0.3">
      <c r="D1325" s="123"/>
      <c r="E1325" s="15"/>
    </row>
    <row r="1326" spans="4:5" x14ac:dyDescent="0.3">
      <c r="D1326" s="123"/>
      <c r="E1326" s="15"/>
    </row>
    <row r="1327" spans="4:5" x14ac:dyDescent="0.3">
      <c r="D1327" s="123"/>
      <c r="E1327" s="15"/>
    </row>
    <row r="1328" spans="4:5" x14ac:dyDescent="0.3">
      <c r="D1328" s="123"/>
      <c r="E1328" s="15"/>
    </row>
    <row r="1329" spans="4:5" x14ac:dyDescent="0.3">
      <c r="D1329" s="123"/>
      <c r="E1329" s="15"/>
    </row>
    <row r="1330" spans="4:5" x14ac:dyDescent="0.3">
      <c r="D1330" s="123"/>
      <c r="E1330" s="15"/>
    </row>
    <row r="1331" spans="4:5" x14ac:dyDescent="0.3">
      <c r="D1331" s="123"/>
      <c r="E1331" s="15"/>
    </row>
    <row r="1332" spans="4:5" x14ac:dyDescent="0.3">
      <c r="D1332" s="123"/>
      <c r="E1332" s="15"/>
    </row>
    <row r="1333" spans="4:5" x14ac:dyDescent="0.3">
      <c r="D1333" s="123"/>
      <c r="E1333" s="15"/>
    </row>
    <row r="1334" spans="4:5" x14ac:dyDescent="0.3">
      <c r="D1334" s="123"/>
      <c r="E1334" s="15"/>
    </row>
    <row r="1335" spans="4:5" x14ac:dyDescent="0.3">
      <c r="D1335" s="123"/>
      <c r="E1335" s="15"/>
    </row>
    <row r="1336" spans="4:5" x14ac:dyDescent="0.3">
      <c r="D1336" s="123"/>
      <c r="E1336" s="15"/>
    </row>
    <row r="1337" spans="4:5" x14ac:dyDescent="0.3">
      <c r="D1337" s="123"/>
      <c r="E1337" s="15"/>
    </row>
    <row r="1338" spans="4:5" x14ac:dyDescent="0.3">
      <c r="D1338" s="123"/>
      <c r="E1338" s="15"/>
    </row>
    <row r="1339" spans="4:5" x14ac:dyDescent="0.3">
      <c r="D1339" s="123"/>
      <c r="E1339" s="15"/>
    </row>
    <row r="1340" spans="4:5" x14ac:dyDescent="0.3">
      <c r="D1340" s="123"/>
      <c r="E1340" s="15"/>
    </row>
    <row r="1341" spans="4:5" x14ac:dyDescent="0.3">
      <c r="D1341" s="123"/>
      <c r="E1341" s="15"/>
    </row>
    <row r="1342" spans="4:5" x14ac:dyDescent="0.3">
      <c r="D1342" s="123"/>
      <c r="E1342" s="15"/>
    </row>
    <row r="1343" spans="4:5" x14ac:dyDescent="0.3">
      <c r="D1343" s="123"/>
      <c r="E1343" s="15"/>
    </row>
    <row r="1344" spans="4:5" x14ac:dyDescent="0.3">
      <c r="D1344" s="123"/>
      <c r="E1344" s="15"/>
    </row>
    <row r="1345" spans="4:5" x14ac:dyDescent="0.3">
      <c r="D1345" s="123"/>
      <c r="E1345" s="15"/>
    </row>
    <row r="1346" spans="4:5" x14ac:dyDescent="0.3">
      <c r="D1346" s="123"/>
      <c r="E1346" s="15"/>
    </row>
    <row r="1347" spans="4:5" x14ac:dyDescent="0.3">
      <c r="D1347" s="123"/>
      <c r="E1347" s="15"/>
    </row>
    <row r="1348" spans="4:5" x14ac:dyDescent="0.3">
      <c r="D1348" s="123"/>
      <c r="E1348" s="15"/>
    </row>
    <row r="1349" spans="4:5" x14ac:dyDescent="0.3">
      <c r="D1349" s="123"/>
      <c r="E1349" s="15"/>
    </row>
    <row r="1350" spans="4:5" x14ac:dyDescent="0.3">
      <c r="D1350" s="123"/>
      <c r="E1350" s="15"/>
    </row>
    <row r="1351" spans="4:5" x14ac:dyDescent="0.3">
      <c r="D1351" s="123"/>
      <c r="E1351" s="15"/>
    </row>
    <row r="1352" spans="4:5" x14ac:dyDescent="0.3">
      <c r="D1352" s="123"/>
      <c r="E1352" s="15"/>
    </row>
    <row r="1353" spans="4:5" x14ac:dyDescent="0.3">
      <c r="D1353" s="123"/>
      <c r="E1353" s="15"/>
    </row>
    <row r="1354" spans="4:5" x14ac:dyDescent="0.3">
      <c r="D1354" s="123"/>
      <c r="E1354" s="15"/>
    </row>
    <row r="1355" spans="4:5" x14ac:dyDescent="0.3">
      <c r="D1355" s="123"/>
      <c r="E1355" s="15"/>
    </row>
    <row r="1356" spans="4:5" x14ac:dyDescent="0.3">
      <c r="D1356" s="123"/>
      <c r="E1356" s="15"/>
    </row>
    <row r="1357" spans="4:5" x14ac:dyDescent="0.3">
      <c r="D1357" s="123"/>
      <c r="E1357" s="15"/>
    </row>
    <row r="1358" spans="4:5" x14ac:dyDescent="0.3">
      <c r="D1358" s="123"/>
      <c r="E1358" s="15"/>
    </row>
    <row r="1359" spans="4:5" x14ac:dyDescent="0.3">
      <c r="D1359" s="123"/>
      <c r="E1359" s="15"/>
    </row>
    <row r="1360" spans="4:5" x14ac:dyDescent="0.3">
      <c r="D1360" s="123"/>
      <c r="E1360" s="15"/>
    </row>
    <row r="1361" spans="4:5" x14ac:dyDescent="0.3">
      <c r="D1361" s="123"/>
      <c r="E1361" s="15"/>
    </row>
    <row r="1362" spans="4:5" x14ac:dyDescent="0.3">
      <c r="D1362" s="123"/>
      <c r="E1362" s="15"/>
    </row>
    <row r="1363" spans="4:5" x14ac:dyDescent="0.3">
      <c r="D1363" s="123"/>
      <c r="E1363" s="15"/>
    </row>
    <row r="1364" spans="4:5" x14ac:dyDescent="0.3">
      <c r="D1364" s="123"/>
      <c r="E1364" s="15"/>
    </row>
    <row r="1365" spans="4:5" x14ac:dyDescent="0.3">
      <c r="D1365" s="123"/>
      <c r="E1365" s="15"/>
    </row>
    <row r="1366" spans="4:5" x14ac:dyDescent="0.3">
      <c r="D1366" s="123"/>
      <c r="E1366" s="15"/>
    </row>
    <row r="1367" spans="4:5" x14ac:dyDescent="0.3">
      <c r="D1367" s="123"/>
      <c r="E1367" s="15"/>
    </row>
    <row r="1368" spans="4:5" x14ac:dyDescent="0.3">
      <c r="D1368" s="123"/>
      <c r="E1368" s="15"/>
    </row>
    <row r="1369" spans="4:5" x14ac:dyDescent="0.3">
      <c r="D1369" s="123"/>
      <c r="E1369" s="15"/>
    </row>
    <row r="1370" spans="4:5" x14ac:dyDescent="0.3">
      <c r="D1370" s="123"/>
      <c r="E1370" s="15"/>
    </row>
    <row r="1371" spans="4:5" x14ac:dyDescent="0.3">
      <c r="D1371" s="123"/>
      <c r="E1371" s="15"/>
    </row>
    <row r="1372" spans="4:5" x14ac:dyDescent="0.3">
      <c r="D1372" s="123"/>
      <c r="E1372" s="15"/>
    </row>
    <row r="1373" spans="4:5" x14ac:dyDescent="0.3">
      <c r="D1373" s="123"/>
      <c r="E1373" s="15"/>
    </row>
    <row r="1374" spans="4:5" x14ac:dyDescent="0.3">
      <c r="D1374" s="123"/>
      <c r="E1374" s="15"/>
    </row>
    <row r="1375" spans="4:5" x14ac:dyDescent="0.3">
      <c r="D1375" s="123"/>
      <c r="E1375" s="15"/>
    </row>
    <row r="1376" spans="4:5" x14ac:dyDescent="0.3">
      <c r="D1376" s="123"/>
      <c r="E1376" s="15"/>
    </row>
    <row r="1377" spans="4:5" x14ac:dyDescent="0.3">
      <c r="D1377" s="123"/>
      <c r="E1377" s="15"/>
    </row>
    <row r="1378" spans="4:5" x14ac:dyDescent="0.3">
      <c r="D1378" s="123"/>
      <c r="E1378" s="15"/>
    </row>
    <row r="1379" spans="4:5" x14ac:dyDescent="0.3">
      <c r="D1379" s="123"/>
      <c r="E1379" s="15"/>
    </row>
    <row r="1380" spans="4:5" x14ac:dyDescent="0.3">
      <c r="D1380" s="123"/>
      <c r="E1380" s="15"/>
    </row>
    <row r="1381" spans="4:5" x14ac:dyDescent="0.3">
      <c r="D1381" s="123"/>
      <c r="E1381" s="15"/>
    </row>
    <row r="1382" spans="4:5" x14ac:dyDescent="0.3">
      <c r="D1382" s="123"/>
      <c r="E1382" s="15"/>
    </row>
    <row r="1383" spans="4:5" x14ac:dyDescent="0.3">
      <c r="D1383" s="123"/>
      <c r="E1383" s="15"/>
    </row>
    <row r="1384" spans="4:5" x14ac:dyDescent="0.3">
      <c r="D1384" s="123"/>
      <c r="E1384" s="15"/>
    </row>
    <row r="1385" spans="4:5" x14ac:dyDescent="0.3">
      <c r="D1385" s="123"/>
      <c r="E1385" s="15"/>
    </row>
    <row r="1386" spans="4:5" x14ac:dyDescent="0.3">
      <c r="D1386" s="123"/>
      <c r="E1386" s="15"/>
    </row>
    <row r="1387" spans="4:5" x14ac:dyDescent="0.3">
      <c r="D1387" s="123"/>
      <c r="E1387" s="15"/>
    </row>
    <row r="1388" spans="4:5" x14ac:dyDescent="0.3">
      <c r="D1388" s="123"/>
      <c r="E1388" s="15"/>
    </row>
    <row r="1389" spans="4:5" x14ac:dyDescent="0.3">
      <c r="D1389" s="123"/>
      <c r="E1389" s="15"/>
    </row>
    <row r="1390" spans="4:5" x14ac:dyDescent="0.3">
      <c r="D1390" s="123"/>
      <c r="E1390" s="15"/>
    </row>
    <row r="1391" spans="4:5" x14ac:dyDescent="0.3">
      <c r="D1391" s="123"/>
      <c r="E1391" s="15"/>
    </row>
    <row r="1392" spans="4:5" x14ac:dyDescent="0.3">
      <c r="D1392" s="123"/>
      <c r="E1392" s="15"/>
    </row>
    <row r="1393" spans="4:5" x14ac:dyDescent="0.3">
      <c r="D1393" s="123"/>
      <c r="E1393" s="15"/>
    </row>
    <row r="1394" spans="4:5" x14ac:dyDescent="0.3">
      <c r="D1394" s="123"/>
      <c r="E1394" s="15"/>
    </row>
    <row r="1395" spans="4:5" x14ac:dyDescent="0.3">
      <c r="D1395" s="123"/>
      <c r="E1395" s="15"/>
    </row>
    <row r="1396" spans="4:5" x14ac:dyDescent="0.3">
      <c r="D1396" s="123"/>
      <c r="E1396" s="15"/>
    </row>
    <row r="1397" spans="4:5" x14ac:dyDescent="0.3">
      <c r="D1397" s="123"/>
      <c r="E1397" s="15"/>
    </row>
    <row r="1398" spans="4:5" x14ac:dyDescent="0.3">
      <c r="D1398" s="123"/>
      <c r="E1398" s="15"/>
    </row>
    <row r="1399" spans="4:5" x14ac:dyDescent="0.3">
      <c r="D1399" s="123"/>
      <c r="E1399" s="15"/>
    </row>
    <row r="1400" spans="4:5" x14ac:dyDescent="0.3">
      <c r="D1400" s="123"/>
      <c r="E1400" s="15"/>
    </row>
    <row r="1401" spans="4:5" x14ac:dyDescent="0.3">
      <c r="D1401" s="123"/>
      <c r="E1401" s="15"/>
    </row>
    <row r="1402" spans="4:5" x14ac:dyDescent="0.3">
      <c r="D1402" s="123"/>
      <c r="E1402" s="15"/>
    </row>
    <row r="1403" spans="4:5" x14ac:dyDescent="0.3">
      <c r="D1403" s="123"/>
      <c r="E1403" s="15"/>
    </row>
    <row r="1404" spans="4:5" x14ac:dyDescent="0.3">
      <c r="D1404" s="123"/>
      <c r="E1404" s="15"/>
    </row>
    <row r="1405" spans="4:5" x14ac:dyDescent="0.3">
      <c r="D1405" s="123"/>
      <c r="E1405" s="15"/>
    </row>
    <row r="1406" spans="4:5" x14ac:dyDescent="0.3">
      <c r="D1406" s="123"/>
      <c r="E1406" s="15"/>
    </row>
    <row r="1407" spans="4:5" x14ac:dyDescent="0.3">
      <c r="D1407" s="123"/>
      <c r="E1407" s="15"/>
    </row>
    <row r="1408" spans="4:5" x14ac:dyDescent="0.3">
      <c r="D1408" s="123"/>
      <c r="E1408" s="15"/>
    </row>
    <row r="1409" spans="4:5" x14ac:dyDescent="0.3">
      <c r="D1409" s="123"/>
      <c r="E1409" s="15"/>
    </row>
    <row r="1410" spans="4:5" x14ac:dyDescent="0.3">
      <c r="D1410" s="123"/>
      <c r="E1410" s="15"/>
    </row>
    <row r="1411" spans="4:5" x14ac:dyDescent="0.3">
      <c r="D1411" s="123"/>
      <c r="E1411" s="15"/>
    </row>
    <row r="1412" spans="4:5" x14ac:dyDescent="0.3">
      <c r="D1412" s="123"/>
      <c r="E1412" s="15"/>
    </row>
    <row r="1413" spans="4:5" x14ac:dyDescent="0.3">
      <c r="D1413" s="123"/>
      <c r="E1413" s="15"/>
    </row>
    <row r="1414" spans="4:5" x14ac:dyDescent="0.3">
      <c r="D1414" s="123"/>
      <c r="E1414" s="15"/>
    </row>
    <row r="1415" spans="4:5" x14ac:dyDescent="0.3">
      <c r="D1415" s="123"/>
      <c r="E1415" s="15"/>
    </row>
    <row r="1416" spans="4:5" x14ac:dyDescent="0.3">
      <c r="D1416" s="123"/>
      <c r="E1416" s="15"/>
    </row>
    <row r="1417" spans="4:5" x14ac:dyDescent="0.3">
      <c r="D1417" s="123"/>
      <c r="E1417" s="15"/>
    </row>
    <row r="1418" spans="4:5" x14ac:dyDescent="0.3">
      <c r="D1418" s="123"/>
      <c r="E1418" s="15"/>
    </row>
    <row r="1419" spans="4:5" x14ac:dyDescent="0.3">
      <c r="D1419" s="123"/>
      <c r="E1419" s="15"/>
    </row>
    <row r="1420" spans="4:5" x14ac:dyDescent="0.3">
      <c r="D1420" s="123"/>
      <c r="E1420" s="15"/>
    </row>
    <row r="1421" spans="4:5" x14ac:dyDescent="0.3">
      <c r="D1421" s="123"/>
      <c r="E1421" s="15"/>
    </row>
    <row r="1422" spans="4:5" x14ac:dyDescent="0.3">
      <c r="D1422" s="123"/>
      <c r="E1422" s="15"/>
    </row>
    <row r="1423" spans="4:5" x14ac:dyDescent="0.3">
      <c r="D1423" s="123"/>
      <c r="E1423" s="15"/>
    </row>
    <row r="1424" spans="4:5" x14ac:dyDescent="0.3">
      <c r="D1424" s="123"/>
      <c r="E1424" s="15"/>
    </row>
    <row r="1425" spans="4:5" x14ac:dyDescent="0.3">
      <c r="D1425" s="123"/>
      <c r="E1425" s="15"/>
    </row>
    <row r="1426" spans="4:5" x14ac:dyDescent="0.3">
      <c r="D1426" s="123"/>
      <c r="E1426" s="15"/>
    </row>
    <row r="1427" spans="4:5" x14ac:dyDescent="0.3">
      <c r="D1427" s="123"/>
      <c r="E1427" s="15"/>
    </row>
    <row r="1428" spans="4:5" x14ac:dyDescent="0.3">
      <c r="D1428" s="123"/>
      <c r="E1428" s="15"/>
    </row>
    <row r="1429" spans="4:5" x14ac:dyDescent="0.3">
      <c r="D1429" s="123"/>
      <c r="E1429" s="15"/>
    </row>
    <row r="1430" spans="4:5" x14ac:dyDescent="0.3">
      <c r="D1430" s="123"/>
      <c r="E1430" s="15"/>
    </row>
    <row r="1431" spans="4:5" x14ac:dyDescent="0.3">
      <c r="D1431" s="123"/>
      <c r="E1431" s="15"/>
    </row>
    <row r="1432" spans="4:5" x14ac:dyDescent="0.3">
      <c r="D1432" s="123"/>
      <c r="E1432" s="15"/>
    </row>
    <row r="1433" spans="4:5" x14ac:dyDescent="0.3">
      <c r="D1433" s="123"/>
      <c r="E1433" s="15"/>
    </row>
    <row r="1434" spans="4:5" x14ac:dyDescent="0.3">
      <c r="D1434" s="123"/>
      <c r="E1434" s="15"/>
    </row>
    <row r="1435" spans="4:5" x14ac:dyDescent="0.3">
      <c r="D1435" s="123"/>
      <c r="E1435" s="15"/>
    </row>
    <row r="1436" spans="4:5" x14ac:dyDescent="0.3">
      <c r="D1436" s="123"/>
      <c r="E1436" s="15"/>
    </row>
    <row r="1437" spans="4:5" x14ac:dyDescent="0.3">
      <c r="D1437" s="123"/>
      <c r="E1437" s="15"/>
    </row>
    <row r="1438" spans="4:5" x14ac:dyDescent="0.3">
      <c r="D1438" s="123"/>
      <c r="E1438" s="15"/>
    </row>
    <row r="1439" spans="4:5" x14ac:dyDescent="0.3">
      <c r="D1439" s="123"/>
      <c r="E1439" s="15"/>
    </row>
    <row r="1440" spans="4:5" x14ac:dyDescent="0.3">
      <c r="D1440" s="123"/>
      <c r="E1440" s="15"/>
    </row>
    <row r="1441" spans="4:5" x14ac:dyDescent="0.3">
      <c r="D1441" s="123"/>
      <c r="E1441" s="15"/>
    </row>
    <row r="1442" spans="4:5" x14ac:dyDescent="0.3">
      <c r="D1442" s="123"/>
      <c r="E1442" s="15"/>
    </row>
    <row r="1443" spans="4:5" x14ac:dyDescent="0.3">
      <c r="D1443" s="123"/>
      <c r="E1443" s="15"/>
    </row>
    <row r="1444" spans="4:5" x14ac:dyDescent="0.3">
      <c r="D1444" s="123"/>
      <c r="E1444" s="15"/>
    </row>
    <row r="1445" spans="4:5" x14ac:dyDescent="0.3">
      <c r="D1445" s="123"/>
      <c r="E1445" s="15"/>
    </row>
    <row r="1446" spans="4:5" x14ac:dyDescent="0.3">
      <c r="D1446" s="123"/>
      <c r="E1446" s="15"/>
    </row>
    <row r="1447" spans="4:5" x14ac:dyDescent="0.3">
      <c r="D1447" s="123"/>
      <c r="E1447" s="15"/>
    </row>
    <row r="1448" spans="4:5" x14ac:dyDescent="0.3">
      <c r="D1448" s="123"/>
      <c r="E1448" s="15"/>
    </row>
    <row r="1449" spans="4:5" x14ac:dyDescent="0.3">
      <c r="D1449" s="123"/>
      <c r="E1449" s="15"/>
    </row>
    <row r="1450" spans="4:5" x14ac:dyDescent="0.3">
      <c r="D1450" s="123"/>
      <c r="E1450" s="15"/>
    </row>
    <row r="1451" spans="4:5" x14ac:dyDescent="0.3">
      <c r="D1451" s="123"/>
      <c r="E1451" s="15"/>
    </row>
    <row r="1452" spans="4:5" x14ac:dyDescent="0.3">
      <c r="D1452" s="123"/>
      <c r="E1452" s="15"/>
    </row>
    <row r="1453" spans="4:5" x14ac:dyDescent="0.3">
      <c r="D1453" s="123"/>
      <c r="E1453" s="15"/>
    </row>
    <row r="1454" spans="4:5" x14ac:dyDescent="0.3">
      <c r="D1454" s="123"/>
      <c r="E1454" s="15"/>
    </row>
    <row r="1455" spans="4:5" x14ac:dyDescent="0.3">
      <c r="D1455" s="123"/>
      <c r="E1455" s="15"/>
    </row>
    <row r="1456" spans="4:5" x14ac:dyDescent="0.3">
      <c r="D1456" s="123"/>
      <c r="E1456" s="15"/>
    </row>
    <row r="1457" spans="4:5" x14ac:dyDescent="0.3">
      <c r="D1457" s="123"/>
      <c r="E1457" s="15"/>
    </row>
    <row r="1458" spans="4:5" x14ac:dyDescent="0.3">
      <c r="D1458" s="123"/>
      <c r="E1458" s="15"/>
    </row>
    <row r="1459" spans="4:5" x14ac:dyDescent="0.3">
      <c r="D1459" s="123"/>
      <c r="E1459" s="15"/>
    </row>
    <row r="1460" spans="4:5" x14ac:dyDescent="0.3">
      <c r="D1460" s="123"/>
      <c r="E1460" s="15"/>
    </row>
    <row r="1461" spans="4:5" x14ac:dyDescent="0.3">
      <c r="D1461" s="123"/>
      <c r="E1461" s="15"/>
    </row>
    <row r="1462" spans="4:5" x14ac:dyDescent="0.3">
      <c r="D1462" s="123"/>
      <c r="E1462" s="15"/>
    </row>
    <row r="1463" spans="4:5" x14ac:dyDescent="0.3">
      <c r="D1463" s="123"/>
      <c r="E1463" s="15"/>
    </row>
    <row r="1464" spans="4:5" x14ac:dyDescent="0.3">
      <c r="D1464" s="123"/>
      <c r="E1464" s="15"/>
    </row>
    <row r="1465" spans="4:5" x14ac:dyDescent="0.3">
      <c r="D1465" s="123"/>
      <c r="E1465" s="15"/>
    </row>
    <row r="1466" spans="4:5" x14ac:dyDescent="0.3">
      <c r="D1466" s="123"/>
      <c r="E1466" s="15"/>
    </row>
    <row r="1467" spans="4:5" x14ac:dyDescent="0.3">
      <c r="D1467" s="123"/>
      <c r="E1467" s="15"/>
    </row>
    <row r="1468" spans="4:5" x14ac:dyDescent="0.3">
      <c r="D1468" s="123"/>
      <c r="E1468" s="15"/>
    </row>
    <row r="1469" spans="4:5" x14ac:dyDescent="0.3">
      <c r="D1469" s="123"/>
      <c r="E1469" s="15"/>
    </row>
    <row r="1470" spans="4:5" x14ac:dyDescent="0.3">
      <c r="D1470" s="123"/>
      <c r="E1470" s="15"/>
    </row>
    <row r="1471" spans="4:5" x14ac:dyDescent="0.3">
      <c r="D1471" s="123"/>
      <c r="E1471" s="15"/>
    </row>
    <row r="1472" spans="4:5" x14ac:dyDescent="0.3">
      <c r="D1472" s="123"/>
      <c r="E1472" s="15"/>
    </row>
    <row r="1473" spans="4:5" x14ac:dyDescent="0.3">
      <c r="D1473" s="123"/>
      <c r="E1473" s="15"/>
    </row>
    <row r="1474" spans="4:5" x14ac:dyDescent="0.3">
      <c r="D1474" s="123"/>
      <c r="E1474" s="15"/>
    </row>
    <row r="1475" spans="4:5" x14ac:dyDescent="0.3">
      <c r="D1475" s="123"/>
      <c r="E1475" s="15"/>
    </row>
    <row r="1476" spans="4:5" x14ac:dyDescent="0.3">
      <c r="D1476" s="123"/>
      <c r="E1476" s="15"/>
    </row>
    <row r="1477" spans="4:5" x14ac:dyDescent="0.3">
      <c r="D1477" s="123"/>
      <c r="E1477" s="15"/>
    </row>
    <row r="1478" spans="4:5" x14ac:dyDescent="0.3">
      <c r="D1478" s="123"/>
      <c r="E1478" s="15"/>
    </row>
    <row r="1479" spans="4:5" x14ac:dyDescent="0.3">
      <c r="D1479" s="123"/>
      <c r="E1479" s="15"/>
    </row>
    <row r="1480" spans="4:5" x14ac:dyDescent="0.3">
      <c r="D1480" s="123"/>
      <c r="E1480" s="15"/>
    </row>
    <row r="1481" spans="4:5" x14ac:dyDescent="0.3">
      <c r="D1481" s="123"/>
      <c r="E1481" s="15"/>
    </row>
    <row r="1482" spans="4:5" x14ac:dyDescent="0.3">
      <c r="D1482" s="123"/>
      <c r="E1482" s="15"/>
    </row>
    <row r="1483" spans="4:5" x14ac:dyDescent="0.3">
      <c r="D1483" s="123"/>
      <c r="E1483" s="15"/>
    </row>
    <row r="1484" spans="4:5" x14ac:dyDescent="0.3">
      <c r="D1484" s="123"/>
      <c r="E1484" s="15"/>
    </row>
    <row r="1485" spans="4:5" x14ac:dyDescent="0.3">
      <c r="D1485" s="123"/>
      <c r="E1485" s="15"/>
    </row>
    <row r="1486" spans="4:5" x14ac:dyDescent="0.3">
      <c r="D1486" s="123"/>
      <c r="E1486" s="15"/>
    </row>
    <row r="1487" spans="4:5" x14ac:dyDescent="0.3">
      <c r="D1487" s="123"/>
      <c r="E1487" s="15"/>
    </row>
    <row r="1488" spans="4:5" x14ac:dyDescent="0.3">
      <c r="D1488" s="123"/>
      <c r="E1488" s="15"/>
    </row>
    <row r="1489" spans="4:5" x14ac:dyDescent="0.3">
      <c r="D1489" s="123"/>
      <c r="E1489" s="15"/>
    </row>
    <row r="1490" spans="4:5" x14ac:dyDescent="0.3">
      <c r="D1490" s="123"/>
      <c r="E1490" s="15"/>
    </row>
    <row r="1491" spans="4:5" x14ac:dyDescent="0.3">
      <c r="D1491" s="123"/>
      <c r="E1491" s="15"/>
    </row>
    <row r="1492" spans="4:5" x14ac:dyDescent="0.3">
      <c r="D1492" s="123"/>
      <c r="E1492" s="15"/>
    </row>
    <row r="1493" spans="4:5" x14ac:dyDescent="0.3">
      <c r="D1493" s="123"/>
      <c r="E1493" s="15"/>
    </row>
    <row r="1494" spans="4:5" x14ac:dyDescent="0.3">
      <c r="D1494" s="123"/>
      <c r="E1494" s="15"/>
    </row>
    <row r="1495" spans="4:5" x14ac:dyDescent="0.3">
      <c r="D1495" s="123"/>
      <c r="E1495" s="15"/>
    </row>
    <row r="1496" spans="4:5" x14ac:dyDescent="0.3">
      <c r="D1496" s="123"/>
      <c r="E1496" s="15"/>
    </row>
    <row r="1497" spans="4:5" x14ac:dyDescent="0.3">
      <c r="D1497" s="123"/>
      <c r="E1497" s="15"/>
    </row>
    <row r="1498" spans="4:5" x14ac:dyDescent="0.3">
      <c r="D1498" s="123"/>
      <c r="E1498" s="15"/>
    </row>
    <row r="1499" spans="4:5" x14ac:dyDescent="0.3">
      <c r="D1499" s="123"/>
      <c r="E1499" s="15"/>
    </row>
    <row r="1500" spans="4:5" x14ac:dyDescent="0.3">
      <c r="D1500" s="123"/>
      <c r="E1500" s="15"/>
    </row>
    <row r="1501" spans="4:5" x14ac:dyDescent="0.3">
      <c r="D1501" s="123"/>
      <c r="E1501" s="15"/>
    </row>
    <row r="1502" spans="4:5" x14ac:dyDescent="0.3">
      <c r="D1502" s="123"/>
      <c r="E1502" s="15"/>
    </row>
    <row r="1503" spans="4:5" x14ac:dyDescent="0.3">
      <c r="D1503" s="123"/>
      <c r="E1503" s="15"/>
    </row>
    <row r="1504" spans="4:5" x14ac:dyDescent="0.3">
      <c r="D1504" s="123"/>
      <c r="E1504" s="15"/>
    </row>
    <row r="1505" spans="4:5" x14ac:dyDescent="0.3">
      <c r="D1505" s="123"/>
      <c r="E1505" s="15"/>
    </row>
    <row r="1506" spans="4:5" x14ac:dyDescent="0.3">
      <c r="D1506" s="123"/>
      <c r="E1506" s="15"/>
    </row>
    <row r="1507" spans="4:5" x14ac:dyDescent="0.3">
      <c r="D1507" s="123"/>
      <c r="E1507" s="15"/>
    </row>
    <row r="1508" spans="4:5" x14ac:dyDescent="0.3">
      <c r="D1508" s="123"/>
      <c r="E1508" s="15"/>
    </row>
    <row r="1509" spans="4:5" x14ac:dyDescent="0.3">
      <c r="D1509" s="123"/>
      <c r="E1509" s="15"/>
    </row>
    <row r="1510" spans="4:5" x14ac:dyDescent="0.3">
      <c r="D1510" s="123"/>
      <c r="E1510" s="15"/>
    </row>
    <row r="1511" spans="4:5" x14ac:dyDescent="0.3">
      <c r="D1511" s="123"/>
      <c r="E1511" s="15"/>
    </row>
    <row r="1512" spans="4:5" x14ac:dyDescent="0.3">
      <c r="D1512" s="123"/>
      <c r="E1512" s="15"/>
    </row>
    <row r="1513" spans="4:5" x14ac:dyDescent="0.3">
      <c r="D1513" s="123"/>
      <c r="E1513" s="15"/>
    </row>
    <row r="1514" spans="4:5" x14ac:dyDescent="0.3">
      <c r="D1514" s="123"/>
      <c r="E1514" s="15"/>
    </row>
    <row r="1515" spans="4:5" x14ac:dyDescent="0.3">
      <c r="D1515" s="123"/>
      <c r="E1515" s="15"/>
    </row>
    <row r="1516" spans="4:5" x14ac:dyDescent="0.3">
      <c r="D1516" s="123"/>
      <c r="E1516" s="15"/>
    </row>
    <row r="1517" spans="4:5" x14ac:dyDescent="0.3">
      <c r="D1517" s="123"/>
      <c r="E1517" s="15"/>
    </row>
    <row r="1518" spans="4:5" x14ac:dyDescent="0.3">
      <c r="D1518" s="123"/>
      <c r="E1518" s="15"/>
    </row>
    <row r="1519" spans="4:5" x14ac:dyDescent="0.3">
      <c r="D1519" s="123"/>
      <c r="E1519" s="15"/>
    </row>
    <row r="1520" spans="4:5" x14ac:dyDescent="0.3">
      <c r="D1520" s="123"/>
      <c r="E1520" s="15"/>
    </row>
    <row r="1521" spans="4:5" x14ac:dyDescent="0.3">
      <c r="D1521" s="123"/>
      <c r="E1521" s="15"/>
    </row>
    <row r="1522" spans="4:5" x14ac:dyDescent="0.3">
      <c r="D1522" s="123"/>
      <c r="E1522" s="15"/>
    </row>
    <row r="1523" spans="4:5" x14ac:dyDescent="0.3">
      <c r="D1523" s="123"/>
      <c r="E1523" s="15"/>
    </row>
    <row r="1524" spans="4:5" x14ac:dyDescent="0.3">
      <c r="D1524" s="123"/>
      <c r="E1524" s="15"/>
    </row>
    <row r="1525" spans="4:5" x14ac:dyDescent="0.3">
      <c r="D1525" s="123"/>
      <c r="E1525" s="15"/>
    </row>
    <row r="1526" spans="4:5" x14ac:dyDescent="0.3">
      <c r="D1526" s="123"/>
      <c r="E1526" s="15"/>
    </row>
    <row r="1527" spans="4:5" x14ac:dyDescent="0.3">
      <c r="D1527" s="123"/>
      <c r="E1527" s="15"/>
    </row>
    <row r="1528" spans="4:5" x14ac:dyDescent="0.3">
      <c r="D1528" s="123"/>
      <c r="E1528" s="15"/>
    </row>
    <row r="1529" spans="4:5" x14ac:dyDescent="0.3">
      <c r="D1529" s="123"/>
      <c r="E1529" s="15"/>
    </row>
    <row r="1530" spans="4:5" x14ac:dyDescent="0.3">
      <c r="D1530" s="123"/>
      <c r="E1530" s="15"/>
    </row>
    <row r="1531" spans="4:5" x14ac:dyDescent="0.3">
      <c r="D1531" s="123"/>
      <c r="E1531" s="15"/>
    </row>
    <row r="1532" spans="4:5" x14ac:dyDescent="0.3">
      <c r="D1532" s="123"/>
      <c r="E1532" s="15"/>
    </row>
    <row r="1533" spans="4:5" x14ac:dyDescent="0.3">
      <c r="D1533" s="123"/>
      <c r="E1533" s="15"/>
    </row>
    <row r="1534" spans="4:5" x14ac:dyDescent="0.3">
      <c r="D1534" s="123"/>
      <c r="E1534" s="15"/>
    </row>
    <row r="1535" spans="4:5" x14ac:dyDescent="0.3">
      <c r="D1535" s="123"/>
      <c r="E1535" s="15"/>
    </row>
    <row r="1536" spans="4:5" x14ac:dyDescent="0.3">
      <c r="D1536" s="123"/>
      <c r="E1536" s="15"/>
    </row>
    <row r="1537" spans="4:5" x14ac:dyDescent="0.3">
      <c r="D1537" s="123"/>
      <c r="E1537" s="15"/>
    </row>
    <row r="1538" spans="4:5" x14ac:dyDescent="0.3">
      <c r="D1538" s="123"/>
      <c r="E1538" s="15"/>
    </row>
    <row r="1539" spans="4:5" x14ac:dyDescent="0.3">
      <c r="D1539" s="123"/>
      <c r="E1539" s="15"/>
    </row>
    <row r="1540" spans="4:5" x14ac:dyDescent="0.3">
      <c r="D1540" s="123"/>
      <c r="E1540" s="15"/>
    </row>
    <row r="1541" spans="4:5" x14ac:dyDescent="0.3">
      <c r="D1541" s="123"/>
      <c r="E1541" s="15"/>
    </row>
    <row r="1542" spans="4:5" x14ac:dyDescent="0.3">
      <c r="D1542" s="123"/>
      <c r="E1542" s="15"/>
    </row>
    <row r="1543" spans="4:5" x14ac:dyDescent="0.3">
      <c r="D1543" s="123"/>
      <c r="E1543" s="15"/>
    </row>
    <row r="1544" spans="4:5" x14ac:dyDescent="0.3">
      <c r="D1544" s="123"/>
      <c r="E1544" s="15"/>
    </row>
    <row r="1545" spans="4:5" x14ac:dyDescent="0.3">
      <c r="D1545" s="123"/>
      <c r="E1545" s="15"/>
    </row>
    <row r="1546" spans="4:5" x14ac:dyDescent="0.3">
      <c r="D1546" s="123"/>
      <c r="E1546" s="15"/>
    </row>
    <row r="1547" spans="4:5" x14ac:dyDescent="0.3">
      <c r="D1547" s="123"/>
      <c r="E1547" s="15"/>
    </row>
    <row r="1548" spans="4:5" x14ac:dyDescent="0.3">
      <c r="D1548" s="123"/>
      <c r="E1548" s="15"/>
    </row>
    <row r="1549" spans="4:5" x14ac:dyDescent="0.3">
      <c r="D1549" s="123"/>
      <c r="E1549" s="15"/>
    </row>
    <row r="1550" spans="4:5" x14ac:dyDescent="0.3">
      <c r="D1550" s="123"/>
      <c r="E1550" s="15"/>
    </row>
    <row r="1551" spans="4:5" x14ac:dyDescent="0.3">
      <c r="D1551" s="123"/>
      <c r="E1551" s="15"/>
    </row>
    <row r="1552" spans="4:5" x14ac:dyDescent="0.3">
      <c r="D1552" s="123"/>
      <c r="E1552" s="15"/>
    </row>
    <row r="1553" spans="4:5" x14ac:dyDescent="0.3">
      <c r="D1553" s="123"/>
      <c r="E1553" s="15"/>
    </row>
    <row r="1554" spans="4:5" x14ac:dyDescent="0.3">
      <c r="D1554" s="123"/>
      <c r="E1554" s="15"/>
    </row>
    <row r="1555" spans="4:5" x14ac:dyDescent="0.3">
      <c r="D1555" s="123"/>
      <c r="E1555" s="15"/>
    </row>
    <row r="1556" spans="4:5" x14ac:dyDescent="0.3">
      <c r="D1556" s="123"/>
      <c r="E1556" s="15"/>
    </row>
    <row r="1557" spans="4:5" x14ac:dyDescent="0.3">
      <c r="D1557" s="123"/>
      <c r="E1557" s="15"/>
    </row>
    <row r="1558" spans="4:5" x14ac:dyDescent="0.3">
      <c r="D1558" s="123"/>
      <c r="E1558" s="15"/>
    </row>
    <row r="1559" spans="4:5" x14ac:dyDescent="0.3">
      <c r="D1559" s="123"/>
      <c r="E1559" s="15"/>
    </row>
    <row r="1560" spans="4:5" x14ac:dyDescent="0.3">
      <c r="D1560" s="123"/>
      <c r="E1560" s="15"/>
    </row>
    <row r="1561" spans="4:5" x14ac:dyDescent="0.3">
      <c r="D1561" s="123"/>
      <c r="E1561" s="15"/>
    </row>
    <row r="1562" spans="4:5" x14ac:dyDescent="0.3">
      <c r="D1562" s="123"/>
      <c r="E1562" s="15"/>
    </row>
    <row r="1563" spans="4:5" x14ac:dyDescent="0.3">
      <c r="D1563" s="123"/>
      <c r="E1563" s="15"/>
    </row>
    <row r="1564" spans="4:5" x14ac:dyDescent="0.3">
      <c r="D1564" s="123"/>
      <c r="E1564" s="15"/>
    </row>
    <row r="1565" spans="4:5" x14ac:dyDescent="0.3">
      <c r="D1565" s="123"/>
      <c r="E1565" s="15"/>
    </row>
    <row r="1566" spans="4:5" x14ac:dyDescent="0.3">
      <c r="D1566" s="123"/>
      <c r="E1566" s="15"/>
    </row>
    <row r="1567" spans="4:5" x14ac:dyDescent="0.3">
      <c r="D1567" s="123"/>
      <c r="E1567" s="15"/>
    </row>
    <row r="1568" spans="4:5" x14ac:dyDescent="0.3">
      <c r="D1568" s="123"/>
      <c r="E1568" s="15"/>
    </row>
    <row r="1569" spans="4:5" x14ac:dyDescent="0.3">
      <c r="D1569" s="123"/>
      <c r="E1569" s="15"/>
    </row>
    <row r="1570" spans="4:5" x14ac:dyDescent="0.3">
      <c r="D1570" s="123"/>
      <c r="E1570" s="15"/>
    </row>
    <row r="1571" spans="4:5" x14ac:dyDescent="0.3">
      <c r="D1571" s="123"/>
      <c r="E1571" s="15"/>
    </row>
    <row r="1572" spans="4:5" x14ac:dyDescent="0.3">
      <c r="D1572" s="123"/>
      <c r="E1572" s="15"/>
    </row>
    <row r="1573" spans="4:5" x14ac:dyDescent="0.3">
      <c r="D1573" s="123"/>
      <c r="E1573" s="15"/>
    </row>
    <row r="1574" spans="4:5" x14ac:dyDescent="0.3">
      <c r="D1574" s="123"/>
      <c r="E1574" s="15"/>
    </row>
    <row r="1575" spans="4:5" x14ac:dyDescent="0.3">
      <c r="D1575" s="123"/>
      <c r="E1575" s="15"/>
    </row>
    <row r="1576" spans="4:5" x14ac:dyDescent="0.3">
      <c r="D1576" s="123"/>
      <c r="E1576" s="15"/>
    </row>
    <row r="1577" spans="4:5" x14ac:dyDescent="0.3">
      <c r="D1577" s="123"/>
      <c r="E1577" s="15"/>
    </row>
    <row r="1578" spans="4:5" x14ac:dyDescent="0.3">
      <c r="D1578" s="123"/>
      <c r="E1578" s="15"/>
    </row>
    <row r="1579" spans="4:5" x14ac:dyDescent="0.3">
      <c r="D1579" s="123"/>
      <c r="E1579" s="15"/>
    </row>
    <row r="1580" spans="4:5" x14ac:dyDescent="0.3">
      <c r="D1580" s="123"/>
      <c r="E1580" s="15"/>
    </row>
    <row r="1581" spans="4:5" x14ac:dyDescent="0.3">
      <c r="D1581" s="123"/>
      <c r="E1581" s="15"/>
    </row>
    <row r="1582" spans="4:5" x14ac:dyDescent="0.3">
      <c r="D1582" s="123"/>
      <c r="E1582" s="15"/>
    </row>
    <row r="1583" spans="4:5" x14ac:dyDescent="0.3">
      <c r="D1583" s="123"/>
      <c r="E1583" s="15"/>
    </row>
    <row r="1584" spans="4:5" x14ac:dyDescent="0.3">
      <c r="D1584" s="123"/>
      <c r="E1584" s="15"/>
    </row>
    <row r="1585" spans="4:5" x14ac:dyDescent="0.3">
      <c r="D1585" s="123"/>
      <c r="E1585" s="15"/>
    </row>
    <row r="1586" spans="4:5" x14ac:dyDescent="0.3">
      <c r="D1586" s="123"/>
      <c r="E1586" s="15"/>
    </row>
    <row r="1587" spans="4:5" x14ac:dyDescent="0.3">
      <c r="D1587" s="123"/>
      <c r="E1587" s="15"/>
    </row>
    <row r="1588" spans="4:5" x14ac:dyDescent="0.3">
      <c r="D1588" s="123"/>
      <c r="E1588" s="15"/>
    </row>
    <row r="1589" spans="4:5" x14ac:dyDescent="0.3">
      <c r="D1589" s="123"/>
      <c r="E1589" s="15"/>
    </row>
    <row r="1590" spans="4:5" x14ac:dyDescent="0.3">
      <c r="D1590" s="123"/>
      <c r="E1590" s="15"/>
    </row>
    <row r="1591" spans="4:5" x14ac:dyDescent="0.3">
      <c r="D1591" s="123"/>
      <c r="E1591" s="15"/>
    </row>
    <row r="1592" spans="4:5" x14ac:dyDescent="0.3">
      <c r="D1592" s="123"/>
      <c r="E1592" s="15"/>
    </row>
    <row r="1593" spans="4:5" x14ac:dyDescent="0.3">
      <c r="D1593" s="123"/>
      <c r="E1593" s="15"/>
    </row>
    <row r="1594" spans="4:5" x14ac:dyDescent="0.3">
      <c r="D1594" s="123"/>
      <c r="E1594" s="15"/>
    </row>
    <row r="1595" spans="4:5" x14ac:dyDescent="0.3">
      <c r="D1595" s="123"/>
      <c r="E1595" s="15"/>
    </row>
    <row r="1596" spans="4:5" x14ac:dyDescent="0.3">
      <c r="D1596" s="123"/>
      <c r="E1596" s="15"/>
    </row>
    <row r="1597" spans="4:5" x14ac:dyDescent="0.3">
      <c r="D1597" s="123"/>
      <c r="E1597" s="15"/>
    </row>
    <row r="1598" spans="4:5" x14ac:dyDescent="0.3">
      <c r="D1598" s="123"/>
      <c r="E1598" s="15"/>
    </row>
    <row r="1599" spans="4:5" x14ac:dyDescent="0.3">
      <c r="D1599" s="123"/>
      <c r="E1599" s="15"/>
    </row>
    <row r="1600" spans="4:5" x14ac:dyDescent="0.3">
      <c r="D1600" s="123"/>
      <c r="E1600" s="15"/>
    </row>
    <row r="1601" spans="4:5" x14ac:dyDescent="0.3">
      <c r="D1601" s="123"/>
      <c r="E1601" s="15"/>
    </row>
    <row r="1602" spans="4:5" x14ac:dyDescent="0.3">
      <c r="D1602" s="123"/>
      <c r="E1602" s="15"/>
    </row>
    <row r="1603" spans="4:5" x14ac:dyDescent="0.3">
      <c r="D1603" s="123"/>
      <c r="E1603" s="15"/>
    </row>
    <row r="1604" spans="4:5" x14ac:dyDescent="0.3">
      <c r="D1604" s="123"/>
      <c r="E1604" s="15"/>
    </row>
    <row r="1605" spans="4:5" x14ac:dyDescent="0.3">
      <c r="D1605" s="123"/>
      <c r="E1605" s="15"/>
    </row>
    <row r="1606" spans="4:5" x14ac:dyDescent="0.3">
      <c r="D1606" s="123"/>
      <c r="E1606" s="15"/>
    </row>
    <row r="1607" spans="4:5" x14ac:dyDescent="0.3">
      <c r="D1607" s="123"/>
      <c r="E1607" s="15"/>
    </row>
    <row r="1608" spans="4:5" x14ac:dyDescent="0.3">
      <c r="D1608" s="123"/>
      <c r="E1608" s="15"/>
    </row>
    <row r="1609" spans="4:5" x14ac:dyDescent="0.3">
      <c r="D1609" s="123"/>
      <c r="E1609" s="15"/>
    </row>
    <row r="1610" spans="4:5" x14ac:dyDescent="0.3">
      <c r="D1610" s="123"/>
      <c r="E1610" s="15"/>
    </row>
    <row r="1611" spans="4:5" x14ac:dyDescent="0.3">
      <c r="D1611" s="123"/>
      <c r="E1611" s="15"/>
    </row>
    <row r="1612" spans="4:5" x14ac:dyDescent="0.3">
      <c r="D1612" s="123"/>
      <c r="E1612" s="15"/>
    </row>
    <row r="1613" spans="4:5" x14ac:dyDescent="0.3">
      <c r="D1613" s="123"/>
      <c r="E1613" s="15"/>
    </row>
    <row r="1614" spans="4:5" x14ac:dyDescent="0.3">
      <c r="D1614" s="123"/>
      <c r="E1614" s="15"/>
    </row>
    <row r="1615" spans="4:5" x14ac:dyDescent="0.3">
      <c r="D1615" s="123"/>
      <c r="E1615" s="15"/>
    </row>
    <row r="1616" spans="4:5" x14ac:dyDescent="0.3">
      <c r="D1616" s="123"/>
      <c r="E1616" s="15"/>
    </row>
    <row r="1617" spans="4:5" x14ac:dyDescent="0.3">
      <c r="D1617" s="123"/>
      <c r="E1617" s="15"/>
    </row>
    <row r="1618" spans="4:5" x14ac:dyDescent="0.3">
      <c r="D1618" s="123"/>
      <c r="E1618" s="15"/>
    </row>
    <row r="1619" spans="4:5" x14ac:dyDescent="0.3">
      <c r="D1619" s="123"/>
      <c r="E1619" s="15"/>
    </row>
    <row r="1620" spans="4:5" x14ac:dyDescent="0.3">
      <c r="D1620" s="123"/>
      <c r="E1620" s="15"/>
    </row>
    <row r="1621" spans="4:5" x14ac:dyDescent="0.3">
      <c r="D1621" s="123"/>
      <c r="E1621" s="15"/>
    </row>
    <row r="1622" spans="4:5" x14ac:dyDescent="0.3">
      <c r="D1622" s="123"/>
      <c r="E1622" s="15"/>
    </row>
    <row r="1623" spans="4:5" x14ac:dyDescent="0.3">
      <c r="D1623" s="123"/>
      <c r="E1623" s="15"/>
    </row>
    <row r="1624" spans="4:5" x14ac:dyDescent="0.3">
      <c r="D1624" s="123"/>
      <c r="E1624" s="15"/>
    </row>
    <row r="1625" spans="4:5" x14ac:dyDescent="0.3">
      <c r="D1625" s="123"/>
      <c r="E1625" s="15"/>
    </row>
    <row r="1626" spans="4:5" x14ac:dyDescent="0.3">
      <c r="D1626" s="123"/>
      <c r="E1626" s="15"/>
    </row>
    <row r="1627" spans="4:5" x14ac:dyDescent="0.3">
      <c r="D1627" s="123"/>
      <c r="E1627" s="15"/>
    </row>
    <row r="1628" spans="4:5" x14ac:dyDescent="0.3">
      <c r="D1628" s="123"/>
      <c r="E1628" s="15"/>
    </row>
    <row r="1629" spans="4:5" x14ac:dyDescent="0.3">
      <c r="D1629" s="123"/>
      <c r="E1629" s="15"/>
    </row>
    <row r="1630" spans="4:5" x14ac:dyDescent="0.3">
      <c r="D1630" s="123"/>
      <c r="E1630" s="15"/>
    </row>
    <row r="1631" spans="4:5" x14ac:dyDescent="0.3">
      <c r="D1631" s="123"/>
      <c r="E1631" s="15"/>
    </row>
    <row r="1632" spans="4:5" x14ac:dyDescent="0.3">
      <c r="D1632" s="123"/>
      <c r="E1632" s="15"/>
    </row>
    <row r="1633" spans="4:5" x14ac:dyDescent="0.3">
      <c r="D1633" s="123"/>
      <c r="E1633" s="15"/>
    </row>
    <row r="1634" spans="4:5" x14ac:dyDescent="0.3">
      <c r="D1634" s="123"/>
      <c r="E1634" s="15"/>
    </row>
    <row r="1635" spans="4:5" x14ac:dyDescent="0.3">
      <c r="D1635" s="123"/>
      <c r="E1635" s="15"/>
    </row>
    <row r="1636" spans="4:5" x14ac:dyDescent="0.3">
      <c r="D1636" s="123"/>
      <c r="E1636" s="15"/>
    </row>
    <row r="1637" spans="4:5" x14ac:dyDescent="0.3">
      <c r="D1637" s="123"/>
      <c r="E1637" s="15"/>
    </row>
    <row r="1638" spans="4:5" x14ac:dyDescent="0.3">
      <c r="D1638" s="123"/>
      <c r="E1638" s="15"/>
    </row>
    <row r="1639" spans="4:5" x14ac:dyDescent="0.3">
      <c r="D1639" s="123"/>
      <c r="E1639" s="15"/>
    </row>
    <row r="1640" spans="4:5" x14ac:dyDescent="0.3">
      <c r="D1640" s="123"/>
      <c r="E1640" s="15"/>
    </row>
    <row r="1641" spans="4:5" x14ac:dyDescent="0.3">
      <c r="D1641" s="123"/>
      <c r="E1641" s="15"/>
    </row>
    <row r="1642" spans="4:5" x14ac:dyDescent="0.3">
      <c r="D1642" s="123"/>
      <c r="E1642" s="15"/>
    </row>
    <row r="1643" spans="4:5" x14ac:dyDescent="0.3">
      <c r="D1643" s="123"/>
      <c r="E1643" s="15"/>
    </row>
    <row r="1644" spans="4:5" x14ac:dyDescent="0.3">
      <c r="D1644" s="123"/>
      <c r="E1644" s="15"/>
    </row>
    <row r="1645" spans="4:5" x14ac:dyDescent="0.3">
      <c r="D1645" s="123"/>
      <c r="E1645" s="15"/>
    </row>
    <row r="1646" spans="4:5" x14ac:dyDescent="0.3">
      <c r="D1646" s="123"/>
      <c r="E1646" s="15"/>
    </row>
    <row r="1647" spans="4:5" x14ac:dyDescent="0.3">
      <c r="D1647" s="123"/>
      <c r="E1647" s="15"/>
    </row>
    <row r="1648" spans="4:5" x14ac:dyDescent="0.3">
      <c r="D1648" s="123"/>
      <c r="E1648" s="15"/>
    </row>
    <row r="1649" spans="4:5" x14ac:dyDescent="0.3">
      <c r="D1649" s="123"/>
      <c r="E1649" s="15"/>
    </row>
    <row r="1650" spans="4:5" x14ac:dyDescent="0.3">
      <c r="D1650" s="123"/>
      <c r="E1650" s="15"/>
    </row>
    <row r="1651" spans="4:5" x14ac:dyDescent="0.3">
      <c r="D1651" s="123"/>
      <c r="E1651" s="15"/>
    </row>
    <row r="1652" spans="4:5" x14ac:dyDescent="0.3">
      <c r="D1652" s="123"/>
      <c r="E1652" s="15"/>
    </row>
    <row r="1653" spans="4:5" x14ac:dyDescent="0.3">
      <c r="D1653" s="123"/>
      <c r="E1653" s="15"/>
    </row>
    <row r="1654" spans="4:5" x14ac:dyDescent="0.3">
      <c r="D1654" s="123"/>
      <c r="E1654" s="15"/>
    </row>
    <row r="1655" spans="4:5" x14ac:dyDescent="0.3">
      <c r="D1655" s="123"/>
      <c r="E1655" s="15"/>
    </row>
    <row r="1656" spans="4:5" x14ac:dyDescent="0.3">
      <c r="D1656" s="123"/>
      <c r="E1656" s="15"/>
    </row>
    <row r="1657" spans="4:5" x14ac:dyDescent="0.3">
      <c r="D1657" s="123"/>
      <c r="E1657" s="15"/>
    </row>
    <row r="1658" spans="4:5" x14ac:dyDescent="0.3">
      <c r="D1658" s="123"/>
      <c r="E1658" s="15"/>
    </row>
    <row r="1659" spans="4:5" x14ac:dyDescent="0.3">
      <c r="D1659" s="123"/>
      <c r="E1659" s="15"/>
    </row>
    <row r="1660" spans="4:5" x14ac:dyDescent="0.3">
      <c r="D1660" s="123"/>
      <c r="E1660" s="15"/>
    </row>
    <row r="1661" spans="4:5" x14ac:dyDescent="0.3">
      <c r="D1661" s="123"/>
      <c r="E1661" s="15"/>
    </row>
    <row r="1662" spans="4:5" x14ac:dyDescent="0.3">
      <c r="D1662" s="123"/>
      <c r="E1662" s="15"/>
    </row>
    <row r="1663" spans="4:5" x14ac:dyDescent="0.3">
      <c r="D1663" s="123"/>
      <c r="E1663" s="15"/>
    </row>
    <row r="1664" spans="4:5" x14ac:dyDescent="0.3">
      <c r="D1664" s="123"/>
      <c r="E1664" s="15"/>
    </row>
    <row r="1665" spans="4:5" x14ac:dyDescent="0.3">
      <c r="D1665" s="123"/>
      <c r="E1665" s="15"/>
    </row>
    <row r="1666" spans="4:5" x14ac:dyDescent="0.3">
      <c r="D1666" s="123"/>
      <c r="E1666" s="15"/>
    </row>
    <row r="1667" spans="4:5" x14ac:dyDescent="0.3">
      <c r="D1667" s="123"/>
      <c r="E1667" s="15"/>
    </row>
    <row r="1668" spans="4:5" x14ac:dyDescent="0.3">
      <c r="D1668" s="123"/>
      <c r="E1668" s="15"/>
    </row>
    <row r="1669" spans="4:5" x14ac:dyDescent="0.3">
      <c r="D1669" s="123"/>
      <c r="E1669" s="15"/>
    </row>
    <row r="1670" spans="4:5" x14ac:dyDescent="0.3">
      <c r="D1670" s="123"/>
      <c r="E1670" s="15"/>
    </row>
    <row r="1671" spans="4:5" x14ac:dyDescent="0.3">
      <c r="D1671" s="123"/>
      <c r="E1671" s="15"/>
    </row>
    <row r="1672" spans="4:5" x14ac:dyDescent="0.3">
      <c r="D1672" s="123"/>
      <c r="E1672" s="15"/>
    </row>
    <row r="1673" spans="4:5" x14ac:dyDescent="0.3">
      <c r="D1673" s="123"/>
      <c r="E1673" s="15"/>
    </row>
    <row r="1674" spans="4:5" x14ac:dyDescent="0.3">
      <c r="D1674" s="123"/>
      <c r="E1674" s="15"/>
    </row>
    <row r="1675" spans="4:5" x14ac:dyDescent="0.3">
      <c r="D1675" s="123"/>
      <c r="E1675" s="15"/>
    </row>
    <row r="1676" spans="4:5" x14ac:dyDescent="0.3">
      <c r="D1676" s="123"/>
      <c r="E1676" s="15"/>
    </row>
    <row r="1677" spans="4:5" x14ac:dyDescent="0.3">
      <c r="D1677" s="123"/>
      <c r="E1677" s="15"/>
    </row>
    <row r="1678" spans="4:5" x14ac:dyDescent="0.3">
      <c r="D1678" s="123"/>
      <c r="E1678" s="15"/>
    </row>
    <row r="1679" spans="4:5" x14ac:dyDescent="0.3">
      <c r="D1679" s="123"/>
      <c r="E1679" s="15"/>
    </row>
    <row r="1680" spans="4:5" x14ac:dyDescent="0.3">
      <c r="D1680" s="123"/>
      <c r="E1680" s="15"/>
    </row>
    <row r="1681" spans="4:5" x14ac:dyDescent="0.3">
      <c r="D1681" s="123"/>
      <c r="E1681" s="15"/>
    </row>
    <row r="1682" spans="4:5" x14ac:dyDescent="0.3">
      <c r="D1682" s="123"/>
      <c r="E1682" s="15"/>
    </row>
    <row r="1683" spans="4:5" x14ac:dyDescent="0.3">
      <c r="D1683" s="123"/>
      <c r="E1683" s="15"/>
    </row>
    <row r="1684" spans="4:5" x14ac:dyDescent="0.3">
      <c r="D1684" s="123"/>
      <c r="E1684" s="15"/>
    </row>
    <row r="1685" spans="4:5" x14ac:dyDescent="0.3">
      <c r="D1685" s="123"/>
      <c r="E1685" s="15"/>
    </row>
    <row r="1686" spans="4:5" x14ac:dyDescent="0.3">
      <c r="D1686" s="123"/>
      <c r="E1686" s="15"/>
    </row>
    <row r="1687" spans="4:5" x14ac:dyDescent="0.3">
      <c r="D1687" s="123"/>
      <c r="E1687" s="15"/>
    </row>
    <row r="1688" spans="4:5" x14ac:dyDescent="0.3">
      <c r="D1688" s="123"/>
      <c r="E1688" s="15"/>
    </row>
    <row r="1689" spans="4:5" x14ac:dyDescent="0.3">
      <c r="D1689" s="123"/>
      <c r="E1689" s="15"/>
    </row>
    <row r="1690" spans="4:5" x14ac:dyDescent="0.3">
      <c r="D1690" s="123"/>
      <c r="E1690" s="15"/>
    </row>
    <row r="1691" spans="4:5" x14ac:dyDescent="0.3">
      <c r="D1691" s="123"/>
      <c r="E1691" s="15"/>
    </row>
    <row r="1692" spans="4:5" x14ac:dyDescent="0.3">
      <c r="D1692" s="123"/>
      <c r="E1692" s="15"/>
    </row>
    <row r="1693" spans="4:5" x14ac:dyDescent="0.3">
      <c r="D1693" s="123"/>
      <c r="E1693" s="15"/>
    </row>
    <row r="1694" spans="4:5" x14ac:dyDescent="0.3">
      <c r="D1694" s="123"/>
      <c r="E1694" s="15"/>
    </row>
    <row r="1695" spans="4:5" x14ac:dyDescent="0.3">
      <c r="D1695" s="123"/>
      <c r="E1695" s="15"/>
    </row>
    <row r="1696" spans="4:5" x14ac:dyDescent="0.3">
      <c r="D1696" s="123"/>
      <c r="E1696" s="15"/>
    </row>
    <row r="1697" spans="4:5" x14ac:dyDescent="0.3">
      <c r="D1697" s="123"/>
      <c r="E1697" s="15"/>
    </row>
    <row r="1698" spans="4:5" x14ac:dyDescent="0.3">
      <c r="D1698" s="123"/>
      <c r="E1698" s="15"/>
    </row>
    <row r="1699" spans="4:5" x14ac:dyDescent="0.3">
      <c r="D1699" s="123"/>
      <c r="E1699" s="15"/>
    </row>
    <row r="1700" spans="4:5" x14ac:dyDescent="0.3">
      <c r="D1700" s="123"/>
      <c r="E1700" s="15"/>
    </row>
    <row r="1701" spans="4:5" x14ac:dyDescent="0.3">
      <c r="D1701" s="123"/>
      <c r="E1701" s="15"/>
    </row>
    <row r="1702" spans="4:5" x14ac:dyDescent="0.3">
      <c r="D1702" s="123"/>
      <c r="E1702" s="15"/>
    </row>
    <row r="1703" spans="4:5" x14ac:dyDescent="0.3">
      <c r="D1703" s="123"/>
      <c r="E1703" s="15"/>
    </row>
    <row r="1704" spans="4:5" x14ac:dyDescent="0.3">
      <c r="D1704" s="123"/>
      <c r="E1704" s="15"/>
    </row>
    <row r="1705" spans="4:5" x14ac:dyDescent="0.3">
      <c r="D1705" s="123"/>
      <c r="E1705" s="15"/>
    </row>
    <row r="1706" spans="4:5" x14ac:dyDescent="0.3">
      <c r="D1706" s="123"/>
      <c r="E1706" s="15"/>
    </row>
    <row r="1707" spans="4:5" x14ac:dyDescent="0.3">
      <c r="D1707" s="123"/>
      <c r="E1707" s="15"/>
    </row>
    <row r="1708" spans="4:5" x14ac:dyDescent="0.3">
      <c r="D1708" s="123"/>
      <c r="E1708" s="15"/>
    </row>
    <row r="1709" spans="4:5" x14ac:dyDescent="0.3">
      <c r="D1709" s="123"/>
      <c r="E1709" s="15"/>
    </row>
    <row r="1710" spans="4:5" x14ac:dyDescent="0.3">
      <c r="D1710" s="123"/>
      <c r="E1710" s="15"/>
    </row>
    <row r="1711" spans="4:5" x14ac:dyDescent="0.3">
      <c r="D1711" s="123"/>
      <c r="E1711" s="15"/>
    </row>
    <row r="1712" spans="4:5" x14ac:dyDescent="0.3">
      <c r="D1712" s="123"/>
      <c r="E1712" s="15"/>
    </row>
    <row r="1713" spans="4:5" x14ac:dyDescent="0.3">
      <c r="D1713" s="123"/>
      <c r="E1713" s="15"/>
    </row>
    <row r="1714" spans="4:5" x14ac:dyDescent="0.3">
      <c r="D1714" s="123"/>
      <c r="E1714" s="15"/>
    </row>
    <row r="1715" spans="4:5" x14ac:dyDescent="0.3">
      <c r="D1715" s="123"/>
      <c r="E1715" s="15"/>
    </row>
    <row r="1716" spans="4:5" x14ac:dyDescent="0.3">
      <c r="D1716" s="123"/>
      <c r="E1716" s="15"/>
    </row>
    <row r="1717" spans="4:5" x14ac:dyDescent="0.3">
      <c r="D1717" s="123"/>
      <c r="E1717" s="15"/>
    </row>
    <row r="1718" spans="4:5" x14ac:dyDescent="0.3">
      <c r="D1718" s="123"/>
      <c r="E1718" s="15"/>
    </row>
    <row r="1719" spans="4:5" x14ac:dyDescent="0.3">
      <c r="D1719" s="123"/>
      <c r="E1719" s="15"/>
    </row>
    <row r="1720" spans="4:5" x14ac:dyDescent="0.3">
      <c r="D1720" s="123"/>
      <c r="E1720" s="15"/>
    </row>
    <row r="1721" spans="4:5" x14ac:dyDescent="0.3">
      <c r="D1721" s="123"/>
      <c r="E1721" s="15"/>
    </row>
    <row r="1722" spans="4:5" x14ac:dyDescent="0.3">
      <c r="D1722" s="123"/>
      <c r="E1722" s="15"/>
    </row>
    <row r="1723" spans="4:5" x14ac:dyDescent="0.3">
      <c r="D1723" s="123"/>
      <c r="E1723" s="15"/>
    </row>
    <row r="1724" spans="4:5" x14ac:dyDescent="0.3">
      <c r="D1724" s="123"/>
      <c r="E1724" s="15"/>
    </row>
    <row r="1725" spans="4:5" x14ac:dyDescent="0.3">
      <c r="D1725" s="123"/>
      <c r="E1725" s="15"/>
    </row>
    <row r="1726" spans="4:5" x14ac:dyDescent="0.3">
      <c r="D1726" s="123"/>
      <c r="E1726" s="15"/>
    </row>
    <row r="1727" spans="4:5" x14ac:dyDescent="0.3">
      <c r="D1727" s="123"/>
      <c r="E1727" s="15"/>
    </row>
    <row r="1728" spans="4:5" x14ac:dyDescent="0.3">
      <c r="D1728" s="123"/>
      <c r="E1728" s="15"/>
    </row>
    <row r="1729" spans="4:5" x14ac:dyDescent="0.3">
      <c r="D1729" s="123"/>
      <c r="E1729" s="15"/>
    </row>
    <row r="1730" spans="4:5" x14ac:dyDescent="0.3">
      <c r="D1730" s="123"/>
      <c r="E1730" s="15"/>
    </row>
    <row r="1731" spans="4:5" x14ac:dyDescent="0.3">
      <c r="D1731" s="123"/>
      <c r="E1731" s="15"/>
    </row>
    <row r="1732" spans="4:5" x14ac:dyDescent="0.3">
      <c r="D1732" s="123"/>
      <c r="E1732" s="15"/>
    </row>
    <row r="1733" spans="4:5" x14ac:dyDescent="0.3">
      <c r="D1733" s="123"/>
      <c r="E1733" s="15"/>
    </row>
    <row r="1734" spans="4:5" x14ac:dyDescent="0.3">
      <c r="D1734" s="123"/>
      <c r="E1734" s="15"/>
    </row>
    <row r="1735" spans="4:5" x14ac:dyDescent="0.3">
      <c r="D1735" s="123"/>
      <c r="E1735" s="15"/>
    </row>
    <row r="1736" spans="4:5" x14ac:dyDescent="0.3">
      <c r="D1736" s="123"/>
      <c r="E1736" s="15"/>
    </row>
    <row r="1737" spans="4:5" x14ac:dyDescent="0.3">
      <c r="D1737" s="123"/>
      <c r="E1737" s="15"/>
    </row>
    <row r="1738" spans="4:5" x14ac:dyDescent="0.3">
      <c r="D1738" s="123"/>
      <c r="E1738" s="15"/>
    </row>
    <row r="1739" spans="4:5" x14ac:dyDescent="0.3">
      <c r="D1739" s="123"/>
      <c r="E1739" s="15"/>
    </row>
    <row r="1740" spans="4:5" x14ac:dyDescent="0.3">
      <c r="D1740" s="123"/>
      <c r="E1740" s="15"/>
    </row>
    <row r="1741" spans="4:5" x14ac:dyDescent="0.3">
      <c r="D1741" s="123"/>
      <c r="E1741" s="15"/>
    </row>
    <row r="1742" spans="4:5" x14ac:dyDescent="0.3">
      <c r="D1742" s="123"/>
      <c r="E1742" s="15"/>
    </row>
    <row r="1743" spans="4:5" x14ac:dyDescent="0.3">
      <c r="D1743" s="123"/>
      <c r="E1743" s="15"/>
    </row>
    <row r="1744" spans="4:5" x14ac:dyDescent="0.3">
      <c r="D1744" s="123"/>
      <c r="E1744" s="15"/>
    </row>
    <row r="1745" spans="4:5" x14ac:dyDescent="0.3">
      <c r="D1745" s="123"/>
      <c r="E1745" s="15"/>
    </row>
    <row r="1746" spans="4:5" x14ac:dyDescent="0.3">
      <c r="D1746" s="123"/>
      <c r="E1746" s="15"/>
    </row>
    <row r="1747" spans="4:5" x14ac:dyDescent="0.3">
      <c r="D1747" s="123"/>
      <c r="E1747" s="15"/>
    </row>
    <row r="1748" spans="4:5" x14ac:dyDescent="0.3">
      <c r="D1748" s="123"/>
      <c r="E1748" s="15"/>
    </row>
    <row r="1749" spans="4:5" x14ac:dyDescent="0.3">
      <c r="D1749" s="123"/>
      <c r="E1749" s="15"/>
    </row>
    <row r="1750" spans="4:5" x14ac:dyDescent="0.3">
      <c r="D1750" s="123"/>
      <c r="E1750" s="15"/>
    </row>
    <row r="1751" spans="4:5" x14ac:dyDescent="0.3">
      <c r="D1751" s="123"/>
      <c r="E1751" s="15"/>
    </row>
    <row r="1752" spans="4:5" x14ac:dyDescent="0.3">
      <c r="D1752" s="123"/>
      <c r="E1752" s="15"/>
    </row>
    <row r="1753" spans="4:5" x14ac:dyDescent="0.3">
      <c r="D1753" s="123"/>
      <c r="E1753" s="15"/>
    </row>
    <row r="1754" spans="4:5" x14ac:dyDescent="0.3">
      <c r="D1754" s="123"/>
      <c r="E1754" s="15"/>
    </row>
    <row r="1755" spans="4:5" x14ac:dyDescent="0.3">
      <c r="D1755" s="123"/>
      <c r="E1755" s="15"/>
    </row>
    <row r="1756" spans="4:5" x14ac:dyDescent="0.3">
      <c r="D1756" s="123"/>
      <c r="E1756" s="15"/>
    </row>
    <row r="1757" spans="4:5" x14ac:dyDescent="0.3">
      <c r="D1757" s="123"/>
      <c r="E1757" s="15"/>
    </row>
    <row r="1758" spans="4:5" x14ac:dyDescent="0.3">
      <c r="D1758" s="123"/>
      <c r="E1758" s="15"/>
    </row>
    <row r="1759" spans="4:5" x14ac:dyDescent="0.3">
      <c r="D1759" s="123"/>
      <c r="E1759" s="15"/>
    </row>
    <row r="1760" spans="4:5" x14ac:dyDescent="0.3">
      <c r="D1760" s="123"/>
      <c r="E1760" s="15"/>
    </row>
    <row r="1761" spans="4:5" x14ac:dyDescent="0.3">
      <c r="D1761" s="123"/>
      <c r="E1761" s="15"/>
    </row>
    <row r="1762" spans="4:5" x14ac:dyDescent="0.3">
      <c r="D1762" s="123"/>
      <c r="E1762" s="15"/>
    </row>
    <row r="1763" spans="4:5" x14ac:dyDescent="0.3">
      <c r="D1763" s="123"/>
      <c r="E1763" s="15"/>
    </row>
    <row r="1764" spans="4:5" x14ac:dyDescent="0.3">
      <c r="D1764" s="123"/>
      <c r="E1764" s="15"/>
    </row>
    <row r="1765" spans="4:5" x14ac:dyDescent="0.3">
      <c r="D1765" s="123"/>
      <c r="E1765" s="15"/>
    </row>
    <row r="1766" spans="4:5" x14ac:dyDescent="0.3">
      <c r="D1766" s="123"/>
      <c r="E1766" s="15"/>
    </row>
    <row r="1767" spans="4:5" x14ac:dyDescent="0.3">
      <c r="D1767" s="123"/>
      <c r="E1767" s="15"/>
    </row>
    <row r="1768" spans="4:5" x14ac:dyDescent="0.3">
      <c r="D1768" s="123"/>
      <c r="E1768" s="15"/>
    </row>
    <row r="1769" spans="4:5" x14ac:dyDescent="0.3">
      <c r="D1769" s="123"/>
      <c r="E1769" s="15"/>
    </row>
    <row r="1770" spans="4:5" x14ac:dyDescent="0.3">
      <c r="D1770" s="123"/>
      <c r="E1770" s="15"/>
    </row>
    <row r="1771" spans="4:5" x14ac:dyDescent="0.3">
      <c r="D1771" s="123"/>
      <c r="E1771" s="15"/>
    </row>
    <row r="1772" spans="4:5" x14ac:dyDescent="0.3">
      <c r="D1772" s="123"/>
      <c r="E1772" s="15"/>
    </row>
    <row r="1773" spans="4:5" x14ac:dyDescent="0.3">
      <c r="D1773" s="123"/>
      <c r="E1773" s="15"/>
    </row>
    <row r="1774" spans="4:5" x14ac:dyDescent="0.3">
      <c r="D1774" s="123"/>
      <c r="E1774" s="15"/>
    </row>
    <row r="1775" spans="4:5" x14ac:dyDescent="0.3">
      <c r="D1775" s="123"/>
      <c r="E1775" s="15"/>
    </row>
    <row r="1776" spans="4:5" x14ac:dyDescent="0.3">
      <c r="D1776" s="123"/>
      <c r="E1776" s="15"/>
    </row>
    <row r="1777" spans="4:5" x14ac:dyDescent="0.3">
      <c r="D1777" s="123"/>
      <c r="E1777" s="15"/>
    </row>
    <row r="1778" spans="4:5" x14ac:dyDescent="0.3">
      <c r="D1778" s="123"/>
      <c r="E1778" s="15"/>
    </row>
    <row r="1779" spans="4:5" x14ac:dyDescent="0.3">
      <c r="D1779" s="123"/>
      <c r="E1779" s="15"/>
    </row>
    <row r="1780" spans="4:5" x14ac:dyDescent="0.3">
      <c r="D1780" s="123"/>
      <c r="E1780" s="15"/>
    </row>
    <row r="1781" spans="4:5" x14ac:dyDescent="0.3">
      <c r="D1781" s="123"/>
      <c r="E1781" s="15"/>
    </row>
    <row r="1782" spans="4:5" x14ac:dyDescent="0.3">
      <c r="D1782" s="123"/>
      <c r="E1782" s="15"/>
    </row>
    <row r="1783" spans="4:5" x14ac:dyDescent="0.3">
      <c r="D1783" s="123"/>
      <c r="E1783" s="15"/>
    </row>
    <row r="1784" spans="4:5" x14ac:dyDescent="0.3">
      <c r="D1784" s="123"/>
      <c r="E1784" s="15"/>
    </row>
    <row r="1785" spans="4:5" x14ac:dyDescent="0.3">
      <c r="D1785" s="123"/>
      <c r="E1785" s="15"/>
    </row>
    <row r="1786" spans="4:5" x14ac:dyDescent="0.3">
      <c r="D1786" s="123"/>
      <c r="E1786" s="15"/>
    </row>
    <row r="1787" spans="4:5" x14ac:dyDescent="0.3">
      <c r="D1787" s="123"/>
      <c r="E1787" s="15"/>
    </row>
    <row r="1788" spans="4:5" x14ac:dyDescent="0.3">
      <c r="D1788" s="123"/>
      <c r="E1788" s="15"/>
    </row>
    <row r="1789" spans="4:5" x14ac:dyDescent="0.3">
      <c r="D1789" s="123"/>
      <c r="E1789" s="15"/>
    </row>
    <row r="1790" spans="4:5" x14ac:dyDescent="0.3">
      <c r="D1790" s="123"/>
      <c r="E1790" s="15"/>
    </row>
    <row r="1791" spans="4:5" x14ac:dyDescent="0.3">
      <c r="D1791" s="123"/>
      <c r="E1791" s="15"/>
    </row>
    <row r="1792" spans="4:5" x14ac:dyDescent="0.3">
      <c r="D1792" s="123"/>
      <c r="E1792" s="15"/>
    </row>
    <row r="1793" spans="4:5" x14ac:dyDescent="0.3">
      <c r="D1793" s="123"/>
      <c r="E1793" s="15"/>
    </row>
    <row r="1794" spans="4:5" x14ac:dyDescent="0.3">
      <c r="D1794" s="123"/>
      <c r="E1794" s="15"/>
    </row>
    <row r="1795" spans="4:5" x14ac:dyDescent="0.3">
      <c r="D1795" s="123"/>
      <c r="E1795" s="15"/>
    </row>
    <row r="1796" spans="4:5" x14ac:dyDescent="0.3">
      <c r="D1796" s="123"/>
      <c r="E1796" s="15"/>
    </row>
    <row r="1797" spans="4:5" x14ac:dyDescent="0.3">
      <c r="D1797" s="123"/>
      <c r="E1797" s="15"/>
    </row>
    <row r="1798" spans="4:5" x14ac:dyDescent="0.3">
      <c r="D1798" s="123"/>
      <c r="E1798" s="15"/>
    </row>
    <row r="1799" spans="4:5" x14ac:dyDescent="0.3">
      <c r="D1799" s="123"/>
      <c r="E1799" s="15"/>
    </row>
    <row r="1800" spans="4:5" x14ac:dyDescent="0.3">
      <c r="D1800" s="123"/>
      <c r="E1800" s="15"/>
    </row>
    <row r="1801" spans="4:5" x14ac:dyDescent="0.3">
      <c r="D1801" s="123"/>
      <c r="E1801" s="15"/>
    </row>
    <row r="1802" spans="4:5" x14ac:dyDescent="0.3">
      <c r="D1802" s="123"/>
      <c r="E1802" s="15"/>
    </row>
    <row r="1803" spans="4:5" x14ac:dyDescent="0.3">
      <c r="D1803" s="123"/>
      <c r="E1803" s="15"/>
    </row>
    <row r="1804" spans="4:5" x14ac:dyDescent="0.3">
      <c r="D1804" s="123"/>
      <c r="E1804" s="15"/>
    </row>
    <row r="1805" spans="4:5" x14ac:dyDescent="0.3">
      <c r="D1805" s="123"/>
      <c r="E1805" s="15"/>
    </row>
    <row r="1806" spans="4:5" x14ac:dyDescent="0.3">
      <c r="D1806" s="123"/>
      <c r="E1806" s="15"/>
    </row>
    <row r="1807" spans="4:5" x14ac:dyDescent="0.3">
      <c r="D1807" s="123"/>
      <c r="E1807" s="15"/>
    </row>
    <row r="1808" spans="4:5" x14ac:dyDescent="0.3">
      <c r="D1808" s="123"/>
      <c r="E1808" s="15"/>
    </row>
    <row r="1809" spans="4:5" x14ac:dyDescent="0.3">
      <c r="D1809" s="123"/>
      <c r="E1809" s="15"/>
    </row>
    <row r="1810" spans="4:5" x14ac:dyDescent="0.3">
      <c r="D1810" s="123"/>
      <c r="E1810" s="15"/>
    </row>
    <row r="1811" spans="4:5" x14ac:dyDescent="0.3">
      <c r="D1811" s="123"/>
      <c r="E1811" s="15"/>
    </row>
    <row r="1812" spans="4:5" x14ac:dyDescent="0.3">
      <c r="D1812" s="123"/>
      <c r="E1812" s="15"/>
    </row>
    <row r="1813" spans="4:5" x14ac:dyDescent="0.3">
      <c r="D1813" s="123"/>
      <c r="E1813" s="15"/>
    </row>
    <row r="1814" spans="4:5" x14ac:dyDescent="0.3">
      <c r="D1814" s="123"/>
      <c r="E1814" s="15"/>
    </row>
    <row r="1815" spans="4:5" x14ac:dyDescent="0.3">
      <c r="D1815" s="123"/>
      <c r="E1815" s="15"/>
    </row>
    <row r="1816" spans="4:5" x14ac:dyDescent="0.3">
      <c r="D1816" s="123"/>
      <c r="E1816" s="15"/>
    </row>
    <row r="1817" spans="4:5" x14ac:dyDescent="0.3">
      <c r="D1817" s="123"/>
      <c r="E1817" s="15"/>
    </row>
    <row r="1818" spans="4:5" x14ac:dyDescent="0.3">
      <c r="D1818" s="123"/>
      <c r="E1818" s="15"/>
    </row>
    <row r="1819" spans="4:5" x14ac:dyDescent="0.3">
      <c r="D1819" s="123"/>
      <c r="E1819" s="15"/>
    </row>
    <row r="1820" spans="4:5" x14ac:dyDescent="0.3">
      <c r="D1820" s="123"/>
      <c r="E1820" s="15"/>
    </row>
    <row r="1821" spans="4:5" x14ac:dyDescent="0.3">
      <c r="D1821" s="123"/>
      <c r="E1821" s="15"/>
    </row>
    <row r="1822" spans="4:5" x14ac:dyDescent="0.3">
      <c r="D1822" s="123"/>
      <c r="E1822" s="15"/>
    </row>
    <row r="1823" spans="4:5" x14ac:dyDescent="0.3">
      <c r="D1823" s="123"/>
      <c r="E1823" s="15"/>
    </row>
    <row r="1824" spans="4:5" x14ac:dyDescent="0.3">
      <c r="D1824" s="123"/>
      <c r="E1824" s="15"/>
    </row>
    <row r="1825" spans="4:5" x14ac:dyDescent="0.3">
      <c r="D1825" s="123"/>
      <c r="E1825" s="15"/>
    </row>
    <row r="1826" spans="4:5" x14ac:dyDescent="0.3">
      <c r="D1826" s="123"/>
      <c r="E1826" s="15"/>
    </row>
    <row r="1827" spans="4:5" x14ac:dyDescent="0.3">
      <c r="D1827" s="123"/>
      <c r="E1827" s="15"/>
    </row>
    <row r="1828" spans="4:5" x14ac:dyDescent="0.3">
      <c r="D1828" s="123"/>
      <c r="E1828" s="15"/>
    </row>
    <row r="1829" spans="4:5" x14ac:dyDescent="0.3">
      <c r="D1829" s="123"/>
      <c r="E1829" s="15"/>
    </row>
    <row r="1830" spans="4:5" x14ac:dyDescent="0.3">
      <c r="D1830" s="123"/>
      <c r="E1830" s="15"/>
    </row>
    <row r="1831" spans="4:5" x14ac:dyDescent="0.3">
      <c r="D1831" s="123"/>
      <c r="E1831" s="15"/>
    </row>
    <row r="1832" spans="4:5" x14ac:dyDescent="0.3">
      <c r="D1832" s="123"/>
      <c r="E1832" s="15"/>
    </row>
    <row r="1833" spans="4:5" x14ac:dyDescent="0.3">
      <c r="D1833" s="123"/>
      <c r="E1833" s="15"/>
    </row>
    <row r="1834" spans="4:5" x14ac:dyDescent="0.3">
      <c r="D1834" s="123"/>
      <c r="E1834" s="15"/>
    </row>
    <row r="1835" spans="4:5" x14ac:dyDescent="0.3">
      <c r="D1835" s="123"/>
      <c r="E1835" s="15"/>
    </row>
    <row r="1836" spans="4:5" x14ac:dyDescent="0.3">
      <c r="D1836" s="123"/>
      <c r="E1836" s="15"/>
    </row>
    <row r="1837" spans="4:5" x14ac:dyDescent="0.3">
      <c r="D1837" s="123"/>
      <c r="E1837" s="15"/>
    </row>
    <row r="1838" spans="4:5" x14ac:dyDescent="0.3">
      <c r="D1838" s="123"/>
      <c r="E1838" s="15"/>
    </row>
    <row r="1839" spans="4:5" x14ac:dyDescent="0.3">
      <c r="D1839" s="123"/>
      <c r="E1839" s="15"/>
    </row>
    <row r="1840" spans="4:5" x14ac:dyDescent="0.3">
      <c r="D1840" s="123"/>
      <c r="E1840" s="15"/>
    </row>
    <row r="1841" spans="4:5" x14ac:dyDescent="0.3">
      <c r="D1841" s="123"/>
      <c r="E1841" s="15"/>
    </row>
    <row r="1842" spans="4:5" x14ac:dyDescent="0.3">
      <c r="D1842" s="123"/>
      <c r="E1842" s="15"/>
    </row>
    <row r="1843" spans="4:5" x14ac:dyDescent="0.3">
      <c r="D1843" s="123"/>
      <c r="E1843" s="15"/>
    </row>
    <row r="1844" spans="4:5" x14ac:dyDescent="0.3">
      <c r="D1844" s="123"/>
      <c r="E1844" s="15"/>
    </row>
    <row r="1845" spans="4:5" x14ac:dyDescent="0.3">
      <c r="D1845" s="123"/>
      <c r="E1845" s="15"/>
    </row>
    <row r="1846" spans="4:5" x14ac:dyDescent="0.3">
      <c r="D1846" s="123"/>
      <c r="E1846" s="15"/>
    </row>
    <row r="1847" spans="4:5" x14ac:dyDescent="0.3">
      <c r="D1847" s="123"/>
      <c r="E1847" s="15"/>
    </row>
    <row r="1848" spans="4:5" x14ac:dyDescent="0.3">
      <c r="D1848" s="123"/>
      <c r="E1848" s="15"/>
    </row>
    <row r="1849" spans="4:5" x14ac:dyDescent="0.3">
      <c r="D1849" s="123"/>
      <c r="E1849" s="15"/>
    </row>
    <row r="1850" spans="4:5" x14ac:dyDescent="0.3">
      <c r="D1850" s="123"/>
      <c r="E1850" s="15"/>
    </row>
    <row r="1851" spans="4:5" x14ac:dyDescent="0.3">
      <c r="D1851" s="123"/>
      <c r="E1851" s="15"/>
    </row>
    <row r="1852" spans="4:5" x14ac:dyDescent="0.3">
      <c r="D1852" s="123"/>
      <c r="E1852" s="15"/>
    </row>
    <row r="1853" spans="4:5" x14ac:dyDescent="0.3">
      <c r="D1853" s="123"/>
      <c r="E1853" s="15"/>
    </row>
    <row r="1854" spans="4:5" x14ac:dyDescent="0.3">
      <c r="D1854" s="123"/>
      <c r="E1854" s="15"/>
    </row>
    <row r="1855" spans="4:5" x14ac:dyDescent="0.3">
      <c r="D1855" s="123"/>
      <c r="E1855" s="15"/>
    </row>
    <row r="1856" spans="4:5" x14ac:dyDescent="0.3">
      <c r="D1856" s="123"/>
      <c r="E1856" s="15"/>
    </row>
    <row r="1857" spans="4:5" x14ac:dyDescent="0.3">
      <c r="D1857" s="123"/>
      <c r="E1857" s="15"/>
    </row>
    <row r="1858" spans="4:5" x14ac:dyDescent="0.3">
      <c r="D1858" s="123"/>
      <c r="E1858" s="15"/>
    </row>
    <row r="1859" spans="4:5" x14ac:dyDescent="0.3">
      <c r="D1859" s="123"/>
      <c r="E1859" s="15"/>
    </row>
    <row r="1860" spans="4:5" x14ac:dyDescent="0.3">
      <c r="D1860" s="123"/>
      <c r="E1860" s="15"/>
    </row>
    <row r="1861" spans="4:5" x14ac:dyDescent="0.3">
      <c r="D1861" s="123"/>
      <c r="E1861" s="15"/>
    </row>
    <row r="1862" spans="4:5" x14ac:dyDescent="0.3">
      <c r="D1862" s="123"/>
      <c r="E1862" s="15"/>
    </row>
    <row r="1863" spans="4:5" x14ac:dyDescent="0.3">
      <c r="D1863" s="123"/>
      <c r="E1863" s="15"/>
    </row>
    <row r="1864" spans="4:5" x14ac:dyDescent="0.3">
      <c r="D1864" s="123"/>
      <c r="E1864" s="15"/>
    </row>
    <row r="1865" spans="4:5" x14ac:dyDescent="0.3">
      <c r="D1865" s="123"/>
      <c r="E1865" s="15"/>
    </row>
    <row r="1866" spans="4:5" x14ac:dyDescent="0.3">
      <c r="D1866" s="123"/>
      <c r="E1866" s="15"/>
    </row>
    <row r="1867" spans="4:5" x14ac:dyDescent="0.3">
      <c r="D1867" s="123"/>
      <c r="E1867" s="15"/>
    </row>
    <row r="1868" spans="4:5" x14ac:dyDescent="0.3">
      <c r="D1868" s="123"/>
      <c r="E1868" s="15"/>
    </row>
    <row r="1869" spans="4:5" x14ac:dyDescent="0.3">
      <c r="D1869" s="123"/>
      <c r="E1869" s="15"/>
    </row>
    <row r="1870" spans="4:5" x14ac:dyDescent="0.3">
      <c r="D1870" s="123"/>
      <c r="E1870" s="15"/>
    </row>
    <row r="1871" spans="4:5" x14ac:dyDescent="0.3">
      <c r="D1871" s="123"/>
      <c r="E1871" s="15"/>
    </row>
    <row r="1872" spans="4:5" x14ac:dyDescent="0.3">
      <c r="D1872" s="123"/>
      <c r="E1872" s="15"/>
    </row>
    <row r="1873" spans="4:5" x14ac:dyDescent="0.3">
      <c r="D1873" s="123"/>
      <c r="E1873" s="15"/>
    </row>
    <row r="1874" spans="4:5" x14ac:dyDescent="0.3">
      <c r="D1874" s="123"/>
      <c r="E1874" s="15"/>
    </row>
    <row r="1875" spans="4:5" x14ac:dyDescent="0.3">
      <c r="D1875" s="123"/>
      <c r="E1875" s="15"/>
    </row>
    <row r="1876" spans="4:5" x14ac:dyDescent="0.3">
      <c r="D1876" s="123"/>
      <c r="E1876" s="15"/>
    </row>
    <row r="1877" spans="4:5" x14ac:dyDescent="0.3">
      <c r="D1877" s="123"/>
      <c r="E1877" s="15"/>
    </row>
    <row r="1878" spans="4:5" x14ac:dyDescent="0.3">
      <c r="D1878" s="123"/>
      <c r="E1878" s="15"/>
    </row>
    <row r="1879" spans="4:5" x14ac:dyDescent="0.3">
      <c r="D1879" s="123"/>
      <c r="E1879" s="15"/>
    </row>
    <row r="1880" spans="4:5" x14ac:dyDescent="0.3">
      <c r="D1880" s="123"/>
      <c r="E1880" s="15"/>
    </row>
    <row r="1881" spans="4:5" x14ac:dyDescent="0.3">
      <c r="D1881" s="123"/>
      <c r="E1881" s="15"/>
    </row>
    <row r="1882" spans="4:5" x14ac:dyDescent="0.3">
      <c r="D1882" s="123"/>
      <c r="E1882" s="15"/>
    </row>
    <row r="1883" spans="4:5" x14ac:dyDescent="0.3">
      <c r="D1883" s="123"/>
      <c r="E1883" s="15"/>
    </row>
    <row r="1884" spans="4:5" x14ac:dyDescent="0.3">
      <c r="D1884" s="123"/>
      <c r="E1884" s="15"/>
    </row>
    <row r="1885" spans="4:5" x14ac:dyDescent="0.3">
      <c r="D1885" s="123"/>
      <c r="E1885" s="15"/>
    </row>
    <row r="1886" spans="4:5" x14ac:dyDescent="0.3">
      <c r="D1886" s="123"/>
      <c r="E1886" s="15"/>
    </row>
    <row r="1887" spans="4:5" x14ac:dyDescent="0.3">
      <c r="D1887" s="123"/>
      <c r="E1887" s="15"/>
    </row>
    <row r="1888" spans="4:5" x14ac:dyDescent="0.3">
      <c r="D1888" s="123"/>
      <c r="E1888" s="15"/>
    </row>
    <row r="1889" spans="4:5" x14ac:dyDescent="0.3">
      <c r="D1889" s="123"/>
      <c r="E1889" s="15"/>
    </row>
    <row r="1890" spans="4:5" x14ac:dyDescent="0.3">
      <c r="D1890" s="123"/>
      <c r="E1890" s="15"/>
    </row>
    <row r="1891" spans="4:5" x14ac:dyDescent="0.3">
      <c r="D1891" s="123"/>
      <c r="E1891" s="15"/>
    </row>
    <row r="1892" spans="4:5" x14ac:dyDescent="0.3">
      <c r="D1892" s="123"/>
      <c r="E1892" s="15"/>
    </row>
    <row r="1893" spans="4:5" x14ac:dyDescent="0.3">
      <c r="D1893" s="123"/>
      <c r="E1893" s="15"/>
    </row>
    <row r="1894" spans="4:5" x14ac:dyDescent="0.3">
      <c r="D1894" s="123"/>
      <c r="E1894" s="15"/>
    </row>
    <row r="1895" spans="4:5" x14ac:dyDescent="0.3">
      <c r="D1895" s="123"/>
      <c r="E1895" s="15"/>
    </row>
    <row r="1896" spans="4:5" x14ac:dyDescent="0.3">
      <c r="D1896" s="123"/>
      <c r="E1896" s="15"/>
    </row>
    <row r="1897" spans="4:5" x14ac:dyDescent="0.3">
      <c r="D1897" s="123"/>
      <c r="E1897" s="15"/>
    </row>
    <row r="1898" spans="4:5" x14ac:dyDescent="0.3">
      <c r="D1898" s="123"/>
      <c r="E1898" s="15"/>
    </row>
    <row r="1899" spans="4:5" x14ac:dyDescent="0.3">
      <c r="D1899" s="123"/>
      <c r="E1899" s="15"/>
    </row>
    <row r="1900" spans="4:5" x14ac:dyDescent="0.3">
      <c r="D1900" s="123"/>
      <c r="E1900" s="15"/>
    </row>
    <row r="1901" spans="4:5" x14ac:dyDescent="0.3">
      <c r="D1901" s="123"/>
      <c r="E1901" s="15"/>
    </row>
    <row r="1902" spans="4:5" x14ac:dyDescent="0.3">
      <c r="D1902" s="123"/>
      <c r="E1902" s="15"/>
    </row>
    <row r="1903" spans="4:5" x14ac:dyDescent="0.3">
      <c r="D1903" s="123"/>
      <c r="E1903" s="15"/>
    </row>
    <row r="1904" spans="4:5" x14ac:dyDescent="0.3">
      <c r="D1904" s="123"/>
      <c r="E1904" s="15"/>
    </row>
    <row r="1905" spans="4:5" x14ac:dyDescent="0.3">
      <c r="D1905" s="123"/>
      <c r="E1905" s="15"/>
    </row>
    <row r="1906" spans="4:5" x14ac:dyDescent="0.3">
      <c r="D1906" s="123"/>
      <c r="E1906" s="15"/>
    </row>
    <row r="1907" spans="4:5" x14ac:dyDescent="0.3">
      <c r="D1907" s="123"/>
      <c r="E1907" s="15"/>
    </row>
    <row r="1908" spans="4:5" x14ac:dyDescent="0.3">
      <c r="D1908" s="123"/>
      <c r="E1908" s="15"/>
    </row>
    <row r="1909" spans="4:5" x14ac:dyDescent="0.3">
      <c r="D1909" s="123"/>
      <c r="E1909" s="15"/>
    </row>
    <row r="1910" spans="4:5" x14ac:dyDescent="0.3">
      <c r="D1910" s="123"/>
      <c r="E1910" s="15"/>
    </row>
    <row r="1911" spans="4:5" x14ac:dyDescent="0.3">
      <c r="D1911" s="123"/>
      <c r="E1911" s="15"/>
    </row>
    <row r="1912" spans="4:5" x14ac:dyDescent="0.3">
      <c r="D1912" s="123"/>
      <c r="E1912" s="15"/>
    </row>
    <row r="1913" spans="4:5" x14ac:dyDescent="0.3">
      <c r="D1913" s="123"/>
      <c r="E1913" s="15"/>
    </row>
    <row r="1914" spans="4:5" x14ac:dyDescent="0.3">
      <c r="D1914" s="123"/>
      <c r="E1914" s="15"/>
    </row>
    <row r="1915" spans="4:5" x14ac:dyDescent="0.3">
      <c r="D1915" s="123"/>
      <c r="E1915" s="15"/>
    </row>
    <row r="1916" spans="4:5" x14ac:dyDescent="0.3">
      <c r="D1916" s="123"/>
      <c r="E1916" s="15"/>
    </row>
    <row r="1917" spans="4:5" x14ac:dyDescent="0.3">
      <c r="D1917" s="123"/>
      <c r="E1917" s="15"/>
    </row>
    <row r="1918" spans="4:5" x14ac:dyDescent="0.3">
      <c r="D1918" s="123"/>
      <c r="E1918" s="15"/>
    </row>
    <row r="1919" spans="4:5" x14ac:dyDescent="0.3">
      <c r="D1919" s="123"/>
      <c r="E1919" s="15"/>
    </row>
    <row r="1920" spans="4:5" x14ac:dyDescent="0.3">
      <c r="D1920" s="123"/>
      <c r="E1920" s="15"/>
    </row>
    <row r="1921" spans="4:5" x14ac:dyDescent="0.3">
      <c r="D1921" s="123"/>
      <c r="E1921" s="15"/>
    </row>
    <row r="1922" spans="4:5" x14ac:dyDescent="0.3">
      <c r="D1922" s="123"/>
      <c r="E1922" s="15"/>
    </row>
    <row r="1923" spans="4:5" x14ac:dyDescent="0.3">
      <c r="D1923" s="123"/>
      <c r="E1923" s="15"/>
    </row>
    <row r="1924" spans="4:5" x14ac:dyDescent="0.3">
      <c r="D1924" s="123"/>
      <c r="E1924" s="15"/>
    </row>
    <row r="1925" spans="4:5" x14ac:dyDescent="0.3">
      <c r="D1925" s="123"/>
      <c r="E1925" s="15"/>
    </row>
    <row r="1926" spans="4:5" x14ac:dyDescent="0.3">
      <c r="D1926" s="123"/>
      <c r="E1926" s="15"/>
    </row>
    <row r="1927" spans="4:5" x14ac:dyDescent="0.3">
      <c r="D1927" s="123"/>
      <c r="E1927" s="15"/>
    </row>
    <row r="1928" spans="4:5" x14ac:dyDescent="0.3">
      <c r="D1928" s="123"/>
      <c r="E1928" s="15"/>
    </row>
    <row r="1929" spans="4:5" x14ac:dyDescent="0.3">
      <c r="D1929" s="123"/>
      <c r="E1929" s="15"/>
    </row>
    <row r="1930" spans="4:5" x14ac:dyDescent="0.3">
      <c r="D1930" s="123"/>
      <c r="E1930" s="15"/>
    </row>
    <row r="1931" spans="4:5" x14ac:dyDescent="0.3">
      <c r="D1931" s="123"/>
      <c r="E1931" s="15"/>
    </row>
    <row r="1932" spans="4:5" x14ac:dyDescent="0.3">
      <c r="D1932" s="123"/>
      <c r="E1932" s="15"/>
    </row>
    <row r="1933" spans="4:5" x14ac:dyDescent="0.3">
      <c r="D1933" s="123"/>
      <c r="E1933" s="15"/>
    </row>
    <row r="1934" spans="4:5" x14ac:dyDescent="0.3">
      <c r="D1934" s="123"/>
      <c r="E1934" s="15"/>
    </row>
    <row r="1935" spans="4:5" x14ac:dyDescent="0.3">
      <c r="D1935" s="123"/>
      <c r="E1935" s="15"/>
    </row>
    <row r="1936" spans="4:5" x14ac:dyDescent="0.3">
      <c r="D1936" s="123"/>
      <c r="E1936" s="15"/>
    </row>
    <row r="1937" spans="4:5" x14ac:dyDescent="0.3">
      <c r="D1937" s="123"/>
      <c r="E1937" s="15"/>
    </row>
    <row r="1938" spans="4:5" x14ac:dyDescent="0.3">
      <c r="D1938" s="123"/>
      <c r="E1938" s="15"/>
    </row>
    <row r="1939" spans="4:5" x14ac:dyDescent="0.3">
      <c r="D1939" s="123"/>
      <c r="E1939" s="15"/>
    </row>
    <row r="1940" spans="4:5" x14ac:dyDescent="0.3">
      <c r="D1940" s="123"/>
      <c r="E1940" s="15"/>
    </row>
    <row r="1941" spans="4:5" x14ac:dyDescent="0.3">
      <c r="D1941" s="123"/>
      <c r="E1941" s="15"/>
    </row>
    <row r="1942" spans="4:5" x14ac:dyDescent="0.3">
      <c r="D1942" s="123"/>
      <c r="E1942" s="15"/>
    </row>
    <row r="1943" spans="4:5" x14ac:dyDescent="0.3">
      <c r="D1943" s="123"/>
      <c r="E1943" s="15"/>
    </row>
    <row r="1944" spans="4:5" x14ac:dyDescent="0.3">
      <c r="D1944" s="123"/>
      <c r="E1944" s="15"/>
    </row>
    <row r="1945" spans="4:5" x14ac:dyDescent="0.3">
      <c r="D1945" s="123"/>
      <c r="E1945" s="15"/>
    </row>
    <row r="1946" spans="4:5" x14ac:dyDescent="0.3">
      <c r="D1946" s="123"/>
      <c r="E1946" s="15"/>
    </row>
    <row r="1947" spans="4:5" x14ac:dyDescent="0.3">
      <c r="D1947" s="123"/>
      <c r="E1947" s="15"/>
    </row>
    <row r="1948" spans="4:5" x14ac:dyDescent="0.3">
      <c r="D1948" s="123"/>
      <c r="E1948" s="15"/>
    </row>
    <row r="1949" spans="4:5" x14ac:dyDescent="0.3">
      <c r="D1949" s="123"/>
      <c r="E1949" s="15"/>
    </row>
    <row r="1950" spans="4:5" x14ac:dyDescent="0.3">
      <c r="D1950" s="123"/>
      <c r="E1950" s="15"/>
    </row>
    <row r="1951" spans="4:5" x14ac:dyDescent="0.3">
      <c r="D1951" s="123"/>
      <c r="E1951" s="15"/>
    </row>
    <row r="1952" spans="4:5" x14ac:dyDescent="0.3">
      <c r="D1952" s="123"/>
      <c r="E1952" s="15"/>
    </row>
    <row r="1953" spans="4:5" x14ac:dyDescent="0.3">
      <c r="D1953" s="123"/>
      <c r="E1953" s="15"/>
    </row>
    <row r="1954" spans="4:5" x14ac:dyDescent="0.3">
      <c r="D1954" s="123"/>
      <c r="E1954" s="15"/>
    </row>
    <row r="1955" spans="4:5" x14ac:dyDescent="0.3">
      <c r="D1955" s="123"/>
      <c r="E1955" s="15"/>
    </row>
    <row r="1956" spans="4:5" x14ac:dyDescent="0.3">
      <c r="D1956" s="123"/>
      <c r="E1956" s="15"/>
    </row>
    <row r="1957" spans="4:5" x14ac:dyDescent="0.3">
      <c r="D1957" s="123"/>
      <c r="E1957" s="15"/>
    </row>
    <row r="1958" spans="4:5" x14ac:dyDescent="0.3">
      <c r="D1958" s="123"/>
      <c r="E1958" s="15"/>
    </row>
    <row r="1959" spans="4:5" x14ac:dyDescent="0.3">
      <c r="D1959" s="123"/>
      <c r="E1959" s="15"/>
    </row>
    <row r="1960" spans="4:5" x14ac:dyDescent="0.3">
      <c r="D1960" s="123"/>
      <c r="E1960" s="15"/>
    </row>
    <row r="1961" spans="4:5" x14ac:dyDescent="0.3">
      <c r="D1961" s="123"/>
      <c r="E1961" s="15"/>
    </row>
    <row r="1962" spans="4:5" x14ac:dyDescent="0.3">
      <c r="D1962" s="123"/>
      <c r="E1962" s="15"/>
    </row>
    <row r="1963" spans="4:5" x14ac:dyDescent="0.3">
      <c r="D1963" s="123"/>
      <c r="E1963" s="15"/>
    </row>
    <row r="1964" spans="4:5" x14ac:dyDescent="0.3">
      <c r="D1964" s="123"/>
      <c r="E1964" s="15"/>
    </row>
    <row r="1965" spans="4:5" x14ac:dyDescent="0.3">
      <c r="D1965" s="123"/>
      <c r="E1965" s="15"/>
    </row>
    <row r="1966" spans="4:5" x14ac:dyDescent="0.3">
      <c r="D1966" s="123"/>
      <c r="E1966" s="15"/>
    </row>
    <row r="1967" spans="4:5" x14ac:dyDescent="0.3">
      <c r="D1967" s="123"/>
      <c r="E1967" s="15"/>
    </row>
    <row r="1968" spans="4:5" x14ac:dyDescent="0.3">
      <c r="D1968" s="123"/>
      <c r="E1968" s="15"/>
    </row>
    <row r="1969" spans="4:5" x14ac:dyDescent="0.3">
      <c r="D1969" s="123"/>
      <c r="E1969" s="15"/>
    </row>
    <row r="1970" spans="4:5" x14ac:dyDescent="0.3">
      <c r="D1970" s="123"/>
      <c r="E1970" s="15"/>
    </row>
    <row r="1971" spans="4:5" x14ac:dyDescent="0.3">
      <c r="D1971" s="123"/>
      <c r="E1971" s="15"/>
    </row>
    <row r="1972" spans="4:5" x14ac:dyDescent="0.3">
      <c r="D1972" s="123"/>
      <c r="E1972" s="15"/>
    </row>
    <row r="1973" spans="4:5" x14ac:dyDescent="0.3">
      <c r="D1973" s="123"/>
      <c r="E1973" s="15"/>
    </row>
    <row r="1974" spans="4:5" x14ac:dyDescent="0.3">
      <c r="D1974" s="123"/>
      <c r="E1974" s="15"/>
    </row>
    <row r="1975" spans="4:5" x14ac:dyDescent="0.3">
      <c r="D1975" s="123"/>
      <c r="E1975" s="15"/>
    </row>
    <row r="1976" spans="4:5" x14ac:dyDescent="0.3">
      <c r="D1976" s="123"/>
      <c r="E1976" s="15"/>
    </row>
    <row r="1977" spans="4:5" x14ac:dyDescent="0.3">
      <c r="D1977" s="123"/>
      <c r="E1977" s="15"/>
    </row>
    <row r="1978" spans="4:5" x14ac:dyDescent="0.3">
      <c r="D1978" s="123"/>
      <c r="E1978" s="15"/>
    </row>
    <row r="1979" spans="4:5" x14ac:dyDescent="0.3">
      <c r="D1979" s="123"/>
      <c r="E1979" s="15"/>
    </row>
    <row r="1980" spans="4:5" x14ac:dyDescent="0.3">
      <c r="D1980" s="123"/>
      <c r="E1980" s="15"/>
    </row>
    <row r="1981" spans="4:5" x14ac:dyDescent="0.3">
      <c r="D1981" s="123"/>
      <c r="E1981" s="15"/>
    </row>
    <row r="1982" spans="4:5" x14ac:dyDescent="0.3">
      <c r="D1982" s="123"/>
      <c r="E1982" s="15"/>
    </row>
    <row r="1983" spans="4:5" x14ac:dyDescent="0.3">
      <c r="D1983" s="123"/>
      <c r="E1983" s="15"/>
    </row>
    <row r="1984" spans="4:5" x14ac:dyDescent="0.3">
      <c r="D1984" s="123"/>
      <c r="E1984" s="15"/>
    </row>
    <row r="1985" spans="4:5" x14ac:dyDescent="0.3">
      <c r="D1985" s="123"/>
      <c r="E1985" s="15"/>
    </row>
    <row r="1986" spans="4:5" x14ac:dyDescent="0.3">
      <c r="D1986" s="123"/>
      <c r="E1986" s="15"/>
    </row>
    <row r="1987" spans="4:5" x14ac:dyDescent="0.3">
      <c r="D1987" s="123"/>
      <c r="E1987" s="15"/>
    </row>
    <row r="1988" spans="4:5" x14ac:dyDescent="0.3">
      <c r="D1988" s="123"/>
      <c r="E1988" s="15"/>
    </row>
    <row r="1989" spans="4:5" x14ac:dyDescent="0.3">
      <c r="D1989" s="123"/>
      <c r="E1989" s="15"/>
    </row>
    <row r="1990" spans="4:5" x14ac:dyDescent="0.3">
      <c r="D1990" s="123"/>
      <c r="E1990" s="15"/>
    </row>
    <row r="1991" spans="4:5" x14ac:dyDescent="0.3">
      <c r="D1991" s="123"/>
      <c r="E1991" s="15"/>
    </row>
    <row r="1992" spans="4:5" x14ac:dyDescent="0.3">
      <c r="D1992" s="123"/>
      <c r="E1992" s="15"/>
    </row>
    <row r="1993" spans="4:5" x14ac:dyDescent="0.3">
      <c r="D1993" s="123"/>
      <c r="E1993" s="15"/>
    </row>
    <row r="1994" spans="4:5" x14ac:dyDescent="0.3">
      <c r="D1994" s="123"/>
      <c r="E1994" s="15"/>
    </row>
    <row r="1995" spans="4:5" x14ac:dyDescent="0.3">
      <c r="D1995" s="123"/>
      <c r="E1995" s="15"/>
    </row>
    <row r="1996" spans="4:5" x14ac:dyDescent="0.3">
      <c r="D1996" s="123"/>
      <c r="E1996" s="15"/>
    </row>
    <row r="1997" spans="4:5" x14ac:dyDescent="0.3">
      <c r="D1997" s="123"/>
      <c r="E1997" s="15"/>
    </row>
    <row r="1998" spans="4:5" x14ac:dyDescent="0.3">
      <c r="D1998" s="123"/>
      <c r="E1998" s="15"/>
    </row>
    <row r="1999" spans="4:5" x14ac:dyDescent="0.3">
      <c r="D1999" s="123"/>
      <c r="E1999" s="15"/>
    </row>
    <row r="2000" spans="4:5" x14ac:dyDescent="0.3">
      <c r="D2000" s="123"/>
      <c r="E2000" s="15"/>
    </row>
    <row r="2001" spans="4:5" x14ac:dyDescent="0.3">
      <c r="D2001" s="123"/>
      <c r="E2001" s="15"/>
    </row>
    <row r="2002" spans="4:5" x14ac:dyDescent="0.3">
      <c r="D2002" s="123"/>
      <c r="E2002" s="15"/>
    </row>
    <row r="2003" spans="4:5" x14ac:dyDescent="0.3">
      <c r="D2003" s="123"/>
      <c r="E2003" s="15"/>
    </row>
    <row r="2004" spans="4:5" x14ac:dyDescent="0.3">
      <c r="D2004" s="123"/>
      <c r="E2004" s="15"/>
    </row>
    <row r="2005" spans="4:5" x14ac:dyDescent="0.3">
      <c r="D2005" s="123"/>
      <c r="E2005" s="15"/>
    </row>
    <row r="2006" spans="4:5" x14ac:dyDescent="0.3">
      <c r="D2006" s="123"/>
      <c r="E2006" s="15"/>
    </row>
    <row r="2007" spans="4:5" x14ac:dyDescent="0.3">
      <c r="D2007" s="123"/>
      <c r="E2007" s="15"/>
    </row>
    <row r="2008" spans="4:5" x14ac:dyDescent="0.3">
      <c r="D2008" s="123"/>
      <c r="E2008" s="15"/>
    </row>
    <row r="2009" spans="4:5" x14ac:dyDescent="0.3">
      <c r="D2009" s="123"/>
      <c r="E2009" s="15"/>
    </row>
    <row r="2010" spans="4:5" x14ac:dyDescent="0.3">
      <c r="D2010" s="123"/>
      <c r="E2010" s="15"/>
    </row>
    <row r="2011" spans="4:5" x14ac:dyDescent="0.3">
      <c r="D2011" s="123"/>
      <c r="E2011" s="15"/>
    </row>
    <row r="2012" spans="4:5" x14ac:dyDescent="0.3">
      <c r="D2012" s="123"/>
      <c r="E2012" s="15"/>
    </row>
    <row r="2013" spans="4:5" x14ac:dyDescent="0.3">
      <c r="D2013" s="123"/>
      <c r="E2013" s="15"/>
    </row>
    <row r="2014" spans="4:5" x14ac:dyDescent="0.3">
      <c r="D2014" s="123"/>
      <c r="E2014" s="15"/>
    </row>
    <row r="2015" spans="4:5" x14ac:dyDescent="0.3">
      <c r="D2015" s="123"/>
      <c r="E2015" s="15"/>
    </row>
    <row r="2016" spans="4:5" x14ac:dyDescent="0.3">
      <c r="D2016" s="123"/>
      <c r="E2016" s="15"/>
    </row>
    <row r="2017" spans="4:5" x14ac:dyDescent="0.3">
      <c r="D2017" s="123"/>
      <c r="E2017" s="15"/>
    </row>
    <row r="2018" spans="4:5" x14ac:dyDescent="0.3">
      <c r="D2018" s="123"/>
      <c r="E2018" s="15"/>
    </row>
    <row r="2019" spans="4:5" x14ac:dyDescent="0.3">
      <c r="D2019" s="123"/>
      <c r="E2019" s="15"/>
    </row>
    <row r="2020" spans="4:5" x14ac:dyDescent="0.3">
      <c r="D2020" s="123"/>
      <c r="E2020" s="15"/>
    </row>
    <row r="2021" spans="4:5" x14ac:dyDescent="0.3">
      <c r="D2021" s="123"/>
      <c r="E2021" s="15"/>
    </row>
    <row r="2022" spans="4:5" x14ac:dyDescent="0.3">
      <c r="D2022" s="123"/>
      <c r="E2022" s="15"/>
    </row>
    <row r="2023" spans="4:5" x14ac:dyDescent="0.3">
      <c r="D2023" s="123"/>
      <c r="E2023" s="15"/>
    </row>
    <row r="2024" spans="4:5" x14ac:dyDescent="0.3">
      <c r="D2024" s="123"/>
      <c r="E2024" s="15"/>
    </row>
    <row r="2025" spans="4:5" x14ac:dyDescent="0.3">
      <c r="D2025" s="123"/>
      <c r="E2025" s="15"/>
    </row>
    <row r="2026" spans="4:5" x14ac:dyDescent="0.3">
      <c r="D2026" s="123"/>
      <c r="E2026" s="15"/>
    </row>
    <row r="2027" spans="4:5" x14ac:dyDescent="0.3">
      <c r="D2027" s="123"/>
      <c r="E2027" s="15"/>
    </row>
    <row r="2028" spans="4:5" x14ac:dyDescent="0.3">
      <c r="D2028" s="123"/>
      <c r="E2028" s="15"/>
    </row>
    <row r="2029" spans="4:5" x14ac:dyDescent="0.3">
      <c r="D2029" s="123"/>
      <c r="E2029" s="15"/>
    </row>
    <row r="2030" spans="4:5" x14ac:dyDescent="0.3">
      <c r="D2030" s="123"/>
      <c r="E2030" s="15"/>
    </row>
    <row r="2031" spans="4:5" x14ac:dyDescent="0.3">
      <c r="D2031" s="123"/>
      <c r="E2031" s="15"/>
    </row>
    <row r="2032" spans="4:5" x14ac:dyDescent="0.3">
      <c r="D2032" s="123"/>
      <c r="E2032" s="15"/>
    </row>
    <row r="2033" spans="4:5" x14ac:dyDescent="0.3">
      <c r="D2033" s="123"/>
      <c r="E2033" s="15"/>
    </row>
    <row r="2034" spans="4:5" x14ac:dyDescent="0.3">
      <c r="D2034" s="123"/>
      <c r="E2034" s="15"/>
    </row>
    <row r="2035" spans="4:5" x14ac:dyDescent="0.3">
      <c r="D2035" s="123"/>
      <c r="E2035" s="15"/>
    </row>
    <row r="2036" spans="4:5" x14ac:dyDescent="0.3">
      <c r="D2036" s="123"/>
      <c r="E2036" s="15"/>
    </row>
    <row r="2037" spans="4:5" x14ac:dyDescent="0.3">
      <c r="D2037" s="123"/>
      <c r="E2037" s="15"/>
    </row>
    <row r="2038" spans="4:5" x14ac:dyDescent="0.3">
      <c r="D2038" s="123"/>
      <c r="E2038" s="15"/>
    </row>
    <row r="2039" spans="4:5" x14ac:dyDescent="0.3">
      <c r="D2039" s="123"/>
      <c r="E2039" s="15"/>
    </row>
    <row r="2040" spans="4:5" x14ac:dyDescent="0.3">
      <c r="D2040" s="123"/>
      <c r="E2040" s="15"/>
    </row>
    <row r="2041" spans="4:5" x14ac:dyDescent="0.3">
      <c r="D2041" s="123"/>
      <c r="E2041" s="15"/>
    </row>
    <row r="2042" spans="4:5" x14ac:dyDescent="0.3">
      <c r="D2042" s="123"/>
      <c r="E2042" s="15"/>
    </row>
    <row r="2043" spans="4:5" x14ac:dyDescent="0.3">
      <c r="D2043" s="123"/>
      <c r="E2043" s="15"/>
    </row>
    <row r="2044" spans="4:5" x14ac:dyDescent="0.3">
      <c r="D2044" s="123"/>
      <c r="E2044" s="15"/>
    </row>
    <row r="2045" spans="4:5" x14ac:dyDescent="0.3">
      <c r="D2045" s="123"/>
      <c r="E2045" s="15"/>
    </row>
    <row r="2046" spans="4:5" x14ac:dyDescent="0.3">
      <c r="D2046" s="123"/>
      <c r="E2046" s="15"/>
    </row>
    <row r="2047" spans="4:5" x14ac:dyDescent="0.3">
      <c r="D2047" s="123"/>
      <c r="E2047" s="15"/>
    </row>
    <row r="2048" spans="4:5" x14ac:dyDescent="0.3">
      <c r="D2048" s="123"/>
      <c r="E2048" s="15"/>
    </row>
    <row r="2049" spans="4:5" x14ac:dyDescent="0.3">
      <c r="D2049" s="123"/>
      <c r="E2049" s="15"/>
    </row>
    <row r="2050" spans="4:5" x14ac:dyDescent="0.3">
      <c r="D2050" s="123"/>
      <c r="E2050" s="15"/>
    </row>
    <row r="2051" spans="4:5" x14ac:dyDescent="0.3">
      <c r="D2051" s="123"/>
      <c r="E2051" s="15"/>
    </row>
    <row r="2052" spans="4:5" x14ac:dyDescent="0.3">
      <c r="D2052" s="123"/>
      <c r="E2052" s="15"/>
    </row>
    <row r="2053" spans="4:5" x14ac:dyDescent="0.3">
      <c r="D2053" s="123"/>
      <c r="E2053" s="15"/>
    </row>
    <row r="2054" spans="4:5" x14ac:dyDescent="0.3">
      <c r="D2054" s="123"/>
      <c r="E2054" s="15"/>
    </row>
    <row r="2055" spans="4:5" x14ac:dyDescent="0.3">
      <c r="D2055" s="123"/>
      <c r="E2055" s="15"/>
    </row>
    <row r="2056" spans="4:5" x14ac:dyDescent="0.3">
      <c r="D2056" s="123"/>
      <c r="E2056" s="15"/>
    </row>
    <row r="2057" spans="4:5" x14ac:dyDescent="0.3">
      <c r="D2057" s="123"/>
      <c r="E2057" s="15"/>
    </row>
    <row r="2058" spans="4:5" x14ac:dyDescent="0.3">
      <c r="D2058" s="123"/>
      <c r="E2058" s="15"/>
    </row>
    <row r="2059" spans="4:5" x14ac:dyDescent="0.3">
      <c r="D2059" s="123"/>
      <c r="E2059" s="15"/>
    </row>
    <row r="2060" spans="4:5" x14ac:dyDescent="0.3">
      <c r="D2060" s="123"/>
      <c r="E2060" s="15"/>
    </row>
    <row r="2061" spans="4:5" x14ac:dyDescent="0.3">
      <c r="D2061" s="123"/>
      <c r="E2061" s="15"/>
    </row>
    <row r="2062" spans="4:5" x14ac:dyDescent="0.3">
      <c r="D2062" s="123"/>
      <c r="E2062" s="15"/>
    </row>
    <row r="2063" spans="4:5" x14ac:dyDescent="0.3">
      <c r="D2063" s="123"/>
      <c r="E2063" s="15"/>
    </row>
    <row r="2064" spans="4:5" x14ac:dyDescent="0.3">
      <c r="D2064" s="123"/>
      <c r="E2064" s="15"/>
    </row>
    <row r="2065" spans="4:5" x14ac:dyDescent="0.3">
      <c r="D2065" s="123"/>
      <c r="E2065" s="15"/>
    </row>
    <row r="2066" spans="4:5" x14ac:dyDescent="0.3">
      <c r="D2066" s="123"/>
      <c r="E2066" s="15"/>
    </row>
    <row r="2067" spans="4:5" x14ac:dyDescent="0.3">
      <c r="D2067" s="123"/>
      <c r="E2067" s="15"/>
    </row>
    <row r="2068" spans="4:5" x14ac:dyDescent="0.3">
      <c r="D2068" s="123"/>
      <c r="E2068" s="15"/>
    </row>
    <row r="2069" spans="4:5" x14ac:dyDescent="0.3">
      <c r="D2069" s="123"/>
      <c r="E2069" s="15"/>
    </row>
    <row r="2070" spans="4:5" x14ac:dyDescent="0.3">
      <c r="D2070" s="123"/>
      <c r="E2070" s="15"/>
    </row>
    <row r="2071" spans="4:5" x14ac:dyDescent="0.3">
      <c r="D2071" s="123"/>
      <c r="E2071" s="15"/>
    </row>
    <row r="2072" spans="4:5" x14ac:dyDescent="0.3">
      <c r="D2072" s="123"/>
      <c r="E2072" s="15"/>
    </row>
    <row r="2073" spans="4:5" x14ac:dyDescent="0.3">
      <c r="D2073" s="123"/>
      <c r="E2073" s="15"/>
    </row>
    <row r="2074" spans="4:5" x14ac:dyDescent="0.3">
      <c r="D2074" s="123"/>
      <c r="E2074" s="15"/>
    </row>
    <row r="2075" spans="4:5" x14ac:dyDescent="0.3">
      <c r="D2075" s="123"/>
      <c r="E2075" s="15"/>
    </row>
    <row r="2076" spans="4:5" x14ac:dyDescent="0.3">
      <c r="D2076" s="123"/>
      <c r="E2076" s="15"/>
    </row>
    <row r="2077" spans="4:5" x14ac:dyDescent="0.3">
      <c r="D2077" s="123"/>
      <c r="E2077" s="15"/>
    </row>
    <row r="2078" spans="4:5" x14ac:dyDescent="0.3">
      <c r="D2078" s="123"/>
      <c r="E2078" s="15"/>
    </row>
    <row r="2079" spans="4:5" x14ac:dyDescent="0.3">
      <c r="D2079" s="123"/>
      <c r="E2079" s="15"/>
    </row>
    <row r="2080" spans="4:5" x14ac:dyDescent="0.3">
      <c r="D2080" s="123"/>
      <c r="E2080" s="15"/>
    </row>
    <row r="2081" spans="4:5" x14ac:dyDescent="0.3">
      <c r="D2081" s="123"/>
      <c r="E2081" s="15"/>
    </row>
    <row r="2082" spans="4:5" x14ac:dyDescent="0.3">
      <c r="D2082" s="123"/>
      <c r="E2082" s="15"/>
    </row>
    <row r="2083" spans="4:5" x14ac:dyDescent="0.3">
      <c r="D2083" s="123"/>
      <c r="E2083" s="15"/>
    </row>
    <row r="2084" spans="4:5" x14ac:dyDescent="0.3">
      <c r="D2084" s="123"/>
      <c r="E2084" s="15"/>
    </row>
    <row r="2085" spans="4:5" x14ac:dyDescent="0.3">
      <c r="D2085" s="123"/>
      <c r="E2085" s="15"/>
    </row>
    <row r="2086" spans="4:5" x14ac:dyDescent="0.3">
      <c r="D2086" s="123"/>
      <c r="E2086" s="15"/>
    </row>
    <row r="2087" spans="4:5" x14ac:dyDescent="0.3">
      <c r="D2087" s="123"/>
      <c r="E2087" s="15"/>
    </row>
    <row r="2088" spans="4:5" x14ac:dyDescent="0.3">
      <c r="D2088" s="123"/>
      <c r="E2088" s="15"/>
    </row>
    <row r="2089" spans="4:5" x14ac:dyDescent="0.3">
      <c r="D2089" s="123"/>
      <c r="E2089" s="15"/>
    </row>
    <row r="2090" spans="4:5" x14ac:dyDescent="0.3">
      <c r="D2090" s="123"/>
      <c r="E2090" s="15"/>
    </row>
    <row r="2091" spans="4:5" x14ac:dyDescent="0.3">
      <c r="D2091" s="123"/>
      <c r="E2091" s="15"/>
    </row>
    <row r="2092" spans="4:5" x14ac:dyDescent="0.3">
      <c r="D2092" s="123"/>
      <c r="E2092" s="15"/>
    </row>
    <row r="2093" spans="4:5" x14ac:dyDescent="0.3">
      <c r="D2093" s="123"/>
      <c r="E2093" s="15"/>
    </row>
    <row r="2094" spans="4:5" x14ac:dyDescent="0.3">
      <c r="D2094" s="123"/>
      <c r="E2094" s="15"/>
    </row>
    <row r="2095" spans="4:5" x14ac:dyDescent="0.3">
      <c r="D2095" s="123"/>
      <c r="E2095" s="15"/>
    </row>
    <row r="2096" spans="4:5" x14ac:dyDescent="0.3">
      <c r="D2096" s="123"/>
      <c r="E2096" s="15"/>
    </row>
    <row r="2097" spans="4:5" x14ac:dyDescent="0.3">
      <c r="D2097" s="123"/>
      <c r="E2097" s="15"/>
    </row>
    <row r="2098" spans="4:5" x14ac:dyDescent="0.3">
      <c r="D2098" s="123"/>
      <c r="E2098" s="15"/>
    </row>
    <row r="2099" spans="4:5" x14ac:dyDescent="0.3">
      <c r="D2099" s="123"/>
      <c r="E2099" s="15"/>
    </row>
    <row r="2100" spans="4:5" x14ac:dyDescent="0.3">
      <c r="D2100" s="123"/>
      <c r="E2100" s="15"/>
    </row>
    <row r="2101" spans="4:5" x14ac:dyDescent="0.3">
      <c r="D2101" s="123"/>
      <c r="E2101" s="15"/>
    </row>
    <row r="2102" spans="4:5" x14ac:dyDescent="0.3">
      <c r="D2102" s="123"/>
      <c r="E2102" s="15"/>
    </row>
    <row r="2103" spans="4:5" x14ac:dyDescent="0.3">
      <c r="D2103" s="123"/>
      <c r="E2103" s="15"/>
    </row>
    <row r="2104" spans="4:5" x14ac:dyDescent="0.3">
      <c r="D2104" s="123"/>
      <c r="E2104" s="15"/>
    </row>
    <row r="2105" spans="4:5" x14ac:dyDescent="0.3">
      <c r="D2105" s="123"/>
      <c r="E2105" s="15"/>
    </row>
    <row r="2106" spans="4:5" x14ac:dyDescent="0.3">
      <c r="D2106" s="123"/>
      <c r="E2106" s="15"/>
    </row>
    <row r="2107" spans="4:5" x14ac:dyDescent="0.3">
      <c r="D2107" s="123"/>
      <c r="E2107" s="15"/>
    </row>
    <row r="2108" spans="4:5" x14ac:dyDescent="0.3">
      <c r="D2108" s="123"/>
      <c r="E2108" s="15"/>
    </row>
    <row r="2109" spans="4:5" x14ac:dyDescent="0.3">
      <c r="D2109" s="123"/>
      <c r="E2109" s="15"/>
    </row>
    <row r="2110" spans="4:5" x14ac:dyDescent="0.3">
      <c r="D2110" s="123"/>
      <c r="E2110" s="15"/>
    </row>
    <row r="2111" spans="4:5" x14ac:dyDescent="0.3">
      <c r="D2111" s="123"/>
      <c r="E2111" s="15"/>
    </row>
    <row r="2112" spans="4:5" x14ac:dyDescent="0.3">
      <c r="D2112" s="123"/>
      <c r="E2112" s="15"/>
    </row>
    <row r="2113" spans="4:5" x14ac:dyDescent="0.3">
      <c r="D2113" s="123"/>
      <c r="E2113" s="15"/>
    </row>
    <row r="2114" spans="4:5" x14ac:dyDescent="0.3">
      <c r="D2114" s="123"/>
      <c r="E2114" s="15"/>
    </row>
    <row r="2115" spans="4:5" x14ac:dyDescent="0.3">
      <c r="D2115" s="123"/>
      <c r="E2115" s="15"/>
    </row>
    <row r="2116" spans="4:5" x14ac:dyDescent="0.3">
      <c r="D2116" s="123"/>
      <c r="E2116" s="15"/>
    </row>
    <row r="2117" spans="4:5" x14ac:dyDescent="0.3">
      <c r="D2117" s="123"/>
      <c r="E2117" s="15"/>
    </row>
    <row r="2118" spans="4:5" x14ac:dyDescent="0.3">
      <c r="D2118" s="123"/>
      <c r="E2118" s="15"/>
    </row>
    <row r="2119" spans="4:5" x14ac:dyDescent="0.3">
      <c r="D2119" s="123"/>
      <c r="E2119" s="15"/>
    </row>
    <row r="2120" spans="4:5" x14ac:dyDescent="0.3">
      <c r="D2120" s="123"/>
      <c r="E2120" s="15"/>
    </row>
    <row r="2121" spans="4:5" x14ac:dyDescent="0.3">
      <c r="D2121" s="123"/>
      <c r="E2121" s="15"/>
    </row>
    <row r="2122" spans="4:5" x14ac:dyDescent="0.3">
      <c r="D2122" s="123"/>
      <c r="E2122" s="15"/>
    </row>
    <row r="2123" spans="4:5" x14ac:dyDescent="0.3">
      <c r="D2123" s="123"/>
      <c r="E2123" s="15"/>
    </row>
    <row r="2124" spans="4:5" x14ac:dyDescent="0.3">
      <c r="D2124" s="123"/>
      <c r="E2124" s="15"/>
    </row>
    <row r="2125" spans="4:5" x14ac:dyDescent="0.3">
      <c r="D2125" s="123"/>
      <c r="E2125" s="15"/>
    </row>
    <row r="2126" spans="4:5" x14ac:dyDescent="0.3">
      <c r="D2126" s="123"/>
      <c r="E2126" s="15"/>
    </row>
    <row r="2127" spans="4:5" x14ac:dyDescent="0.3">
      <c r="D2127" s="123"/>
      <c r="E2127" s="15"/>
    </row>
    <row r="2128" spans="4:5" x14ac:dyDescent="0.3">
      <c r="D2128" s="123"/>
      <c r="E2128" s="15"/>
    </row>
    <row r="2129" spans="4:5" x14ac:dyDescent="0.3">
      <c r="D2129" s="123"/>
      <c r="E2129" s="15"/>
    </row>
    <row r="2130" spans="4:5" x14ac:dyDescent="0.3">
      <c r="D2130" s="123"/>
      <c r="E2130" s="15"/>
    </row>
    <row r="2131" spans="4:5" x14ac:dyDescent="0.3">
      <c r="D2131" s="123"/>
      <c r="E2131" s="15"/>
    </row>
    <row r="2132" spans="4:5" x14ac:dyDescent="0.3">
      <c r="D2132" s="123"/>
      <c r="E2132" s="15"/>
    </row>
    <row r="2133" spans="4:5" x14ac:dyDescent="0.3">
      <c r="D2133" s="123"/>
      <c r="E2133" s="15"/>
    </row>
    <row r="2134" spans="4:5" x14ac:dyDescent="0.3">
      <c r="D2134" s="123"/>
      <c r="E2134" s="15"/>
    </row>
    <row r="2135" spans="4:5" x14ac:dyDescent="0.3">
      <c r="D2135" s="123"/>
      <c r="E2135" s="15"/>
    </row>
    <row r="2136" spans="4:5" x14ac:dyDescent="0.3">
      <c r="D2136" s="123"/>
      <c r="E2136" s="15"/>
    </row>
    <row r="2137" spans="4:5" x14ac:dyDescent="0.3">
      <c r="D2137" s="123"/>
      <c r="E2137" s="15"/>
    </row>
    <row r="2138" spans="4:5" x14ac:dyDescent="0.3">
      <c r="D2138" s="123"/>
      <c r="E2138" s="15"/>
    </row>
    <row r="2139" spans="4:5" x14ac:dyDescent="0.3">
      <c r="D2139" s="123"/>
      <c r="E2139" s="15"/>
    </row>
    <row r="2140" spans="4:5" x14ac:dyDescent="0.3">
      <c r="D2140" s="123"/>
      <c r="E2140" s="15"/>
    </row>
    <row r="2141" spans="4:5" x14ac:dyDescent="0.3">
      <c r="D2141" s="123"/>
      <c r="E2141" s="15"/>
    </row>
    <row r="2142" spans="4:5" x14ac:dyDescent="0.3">
      <c r="D2142" s="123"/>
      <c r="E2142" s="15"/>
    </row>
    <row r="2143" spans="4:5" x14ac:dyDescent="0.3">
      <c r="D2143" s="123"/>
      <c r="E2143" s="15"/>
    </row>
    <row r="2144" spans="4:5" x14ac:dyDescent="0.3">
      <c r="D2144" s="123"/>
      <c r="E2144" s="15"/>
    </row>
    <row r="2145" spans="4:5" x14ac:dyDescent="0.3">
      <c r="D2145" s="123"/>
      <c r="E2145" s="15"/>
    </row>
    <row r="2146" spans="4:5" x14ac:dyDescent="0.3">
      <c r="D2146" s="123"/>
      <c r="E2146" s="15"/>
    </row>
    <row r="2147" spans="4:5" x14ac:dyDescent="0.3">
      <c r="D2147" s="123"/>
      <c r="E2147" s="15"/>
    </row>
    <row r="2148" spans="4:5" x14ac:dyDescent="0.3">
      <c r="D2148" s="123"/>
      <c r="E2148" s="15"/>
    </row>
    <row r="2149" spans="4:5" x14ac:dyDescent="0.3">
      <c r="D2149" s="123"/>
      <c r="E2149" s="15"/>
    </row>
    <row r="2150" spans="4:5" x14ac:dyDescent="0.3">
      <c r="D2150" s="123"/>
      <c r="E2150" s="15"/>
    </row>
    <row r="2151" spans="4:5" x14ac:dyDescent="0.3">
      <c r="D2151" s="123"/>
      <c r="E2151" s="15"/>
    </row>
    <row r="2152" spans="4:5" x14ac:dyDescent="0.3">
      <c r="D2152" s="123"/>
      <c r="E2152" s="15"/>
    </row>
    <row r="2153" spans="4:5" x14ac:dyDescent="0.3">
      <c r="D2153" s="123"/>
      <c r="E2153" s="15"/>
    </row>
    <row r="2154" spans="4:5" x14ac:dyDescent="0.3">
      <c r="D2154" s="123"/>
      <c r="E2154" s="15"/>
    </row>
    <row r="2155" spans="4:5" x14ac:dyDescent="0.3">
      <c r="D2155" s="123"/>
      <c r="E2155" s="15"/>
    </row>
    <row r="2156" spans="4:5" x14ac:dyDescent="0.3">
      <c r="D2156" s="123"/>
      <c r="E2156" s="15"/>
    </row>
    <row r="2157" spans="4:5" x14ac:dyDescent="0.3">
      <c r="D2157" s="123"/>
      <c r="E2157" s="15"/>
    </row>
    <row r="2158" spans="4:5" x14ac:dyDescent="0.3">
      <c r="D2158" s="123"/>
      <c r="E2158" s="15"/>
    </row>
    <row r="2159" spans="4:5" x14ac:dyDescent="0.3">
      <c r="D2159" s="123"/>
      <c r="E2159" s="15"/>
    </row>
    <row r="2160" spans="4:5" x14ac:dyDescent="0.3">
      <c r="D2160" s="123"/>
      <c r="E2160" s="15"/>
    </row>
    <row r="2161" spans="4:5" x14ac:dyDescent="0.3">
      <c r="D2161" s="123"/>
      <c r="E2161" s="15"/>
    </row>
    <row r="2162" spans="4:5" x14ac:dyDescent="0.3">
      <c r="D2162" s="123"/>
      <c r="E2162" s="15"/>
    </row>
    <row r="2163" spans="4:5" x14ac:dyDescent="0.3">
      <c r="D2163" s="123"/>
      <c r="E2163" s="15"/>
    </row>
    <row r="2164" spans="4:5" x14ac:dyDescent="0.3">
      <c r="D2164" s="123"/>
      <c r="E2164" s="15"/>
    </row>
    <row r="2165" spans="4:5" x14ac:dyDescent="0.3">
      <c r="D2165" s="123"/>
      <c r="E2165" s="15"/>
    </row>
    <row r="2166" spans="4:5" x14ac:dyDescent="0.3">
      <c r="D2166" s="123"/>
      <c r="E2166" s="15"/>
    </row>
    <row r="2167" spans="4:5" x14ac:dyDescent="0.3">
      <c r="D2167" s="123"/>
      <c r="E2167" s="15"/>
    </row>
    <row r="2168" spans="4:5" x14ac:dyDescent="0.3">
      <c r="D2168" s="123"/>
      <c r="E2168" s="15"/>
    </row>
    <row r="2169" spans="4:5" x14ac:dyDescent="0.3">
      <c r="D2169" s="123"/>
      <c r="E2169" s="15"/>
    </row>
    <row r="2170" spans="4:5" x14ac:dyDescent="0.3">
      <c r="D2170" s="123"/>
      <c r="E2170" s="15"/>
    </row>
    <row r="2171" spans="4:5" x14ac:dyDescent="0.3">
      <c r="D2171" s="123"/>
      <c r="E2171" s="15"/>
    </row>
    <row r="2172" spans="4:5" x14ac:dyDescent="0.3">
      <c r="D2172" s="123"/>
      <c r="E2172" s="15"/>
    </row>
    <row r="2173" spans="4:5" x14ac:dyDescent="0.3">
      <c r="D2173" s="123"/>
      <c r="E2173" s="15"/>
    </row>
    <row r="2174" spans="4:5" x14ac:dyDescent="0.3">
      <c r="D2174" s="123"/>
      <c r="E2174" s="15"/>
    </row>
    <row r="2175" spans="4:5" x14ac:dyDescent="0.3">
      <c r="D2175" s="123"/>
      <c r="E2175" s="15"/>
    </row>
    <row r="2176" spans="4:5" x14ac:dyDescent="0.3">
      <c r="D2176" s="123"/>
      <c r="E2176" s="15"/>
    </row>
    <row r="2177" spans="4:5" x14ac:dyDescent="0.3">
      <c r="D2177" s="123"/>
      <c r="E2177" s="15"/>
    </row>
    <row r="2178" spans="4:5" x14ac:dyDescent="0.3">
      <c r="D2178" s="123"/>
      <c r="E2178" s="15"/>
    </row>
    <row r="2179" spans="4:5" x14ac:dyDescent="0.3">
      <c r="D2179" s="123"/>
      <c r="E2179" s="15"/>
    </row>
    <row r="2180" spans="4:5" x14ac:dyDescent="0.3">
      <c r="D2180" s="123"/>
      <c r="E2180" s="15"/>
    </row>
    <row r="2181" spans="4:5" x14ac:dyDescent="0.3">
      <c r="D2181" s="123"/>
      <c r="E2181" s="15"/>
    </row>
    <row r="2182" spans="4:5" x14ac:dyDescent="0.3">
      <c r="D2182" s="123"/>
      <c r="E2182" s="15"/>
    </row>
    <row r="2183" spans="4:5" x14ac:dyDescent="0.3">
      <c r="D2183" s="123"/>
      <c r="E2183" s="15"/>
    </row>
    <row r="2184" spans="4:5" x14ac:dyDescent="0.3">
      <c r="D2184" s="123"/>
      <c r="E2184" s="15"/>
    </row>
    <row r="2185" spans="4:5" x14ac:dyDescent="0.3">
      <c r="D2185" s="123"/>
      <c r="E2185" s="15"/>
    </row>
    <row r="2186" spans="4:5" x14ac:dyDescent="0.3">
      <c r="D2186" s="123"/>
      <c r="E2186" s="15"/>
    </row>
    <row r="2187" spans="4:5" x14ac:dyDescent="0.3">
      <c r="D2187" s="123"/>
      <c r="E2187" s="15"/>
    </row>
    <row r="2188" spans="4:5" x14ac:dyDescent="0.3">
      <c r="D2188" s="123"/>
      <c r="E2188" s="15"/>
    </row>
    <row r="2189" spans="4:5" x14ac:dyDescent="0.3">
      <c r="D2189" s="123"/>
      <c r="E2189" s="15"/>
    </row>
    <row r="2190" spans="4:5" x14ac:dyDescent="0.3">
      <c r="D2190" s="123"/>
      <c r="E2190" s="15"/>
    </row>
    <row r="2191" spans="4:5" x14ac:dyDescent="0.3">
      <c r="D2191" s="123"/>
      <c r="E2191" s="15"/>
    </row>
    <row r="2192" spans="4:5" x14ac:dyDescent="0.3">
      <c r="D2192" s="123"/>
      <c r="E2192" s="15"/>
    </row>
    <row r="2193" spans="4:5" x14ac:dyDescent="0.3">
      <c r="D2193" s="123"/>
      <c r="E2193" s="15"/>
    </row>
    <row r="2194" spans="4:5" x14ac:dyDescent="0.3">
      <c r="D2194" s="123"/>
      <c r="E2194" s="15"/>
    </row>
    <row r="2195" spans="4:5" x14ac:dyDescent="0.3">
      <c r="D2195" s="123"/>
      <c r="E2195" s="15"/>
    </row>
    <row r="2196" spans="4:5" x14ac:dyDescent="0.3">
      <c r="D2196" s="123"/>
      <c r="E2196" s="15"/>
    </row>
    <row r="2197" spans="4:5" x14ac:dyDescent="0.3">
      <c r="D2197" s="123"/>
      <c r="E2197" s="15"/>
    </row>
    <row r="2198" spans="4:5" x14ac:dyDescent="0.3">
      <c r="D2198" s="123"/>
      <c r="E2198" s="15"/>
    </row>
    <row r="2199" spans="4:5" x14ac:dyDescent="0.3">
      <c r="D2199" s="123"/>
      <c r="E2199" s="15"/>
    </row>
    <row r="2200" spans="4:5" x14ac:dyDescent="0.3">
      <c r="D2200" s="123"/>
      <c r="E2200" s="15"/>
    </row>
    <row r="2201" spans="4:5" x14ac:dyDescent="0.3">
      <c r="D2201" s="123"/>
      <c r="E2201" s="15"/>
    </row>
    <row r="2202" spans="4:5" x14ac:dyDescent="0.3">
      <c r="D2202" s="123"/>
      <c r="E2202" s="15"/>
    </row>
    <row r="2203" spans="4:5" x14ac:dyDescent="0.3">
      <c r="D2203" s="123"/>
      <c r="E2203" s="15"/>
    </row>
    <row r="2204" spans="4:5" x14ac:dyDescent="0.3">
      <c r="D2204" s="123"/>
      <c r="E2204" s="15"/>
    </row>
    <row r="2205" spans="4:5" x14ac:dyDescent="0.3">
      <c r="D2205" s="123"/>
      <c r="E2205" s="15"/>
    </row>
    <row r="2206" spans="4:5" x14ac:dyDescent="0.3">
      <c r="D2206" s="123"/>
      <c r="E2206" s="15"/>
    </row>
    <row r="2207" spans="4:5" x14ac:dyDescent="0.3">
      <c r="D2207" s="123"/>
      <c r="E2207" s="15"/>
    </row>
    <row r="2208" spans="4:5" x14ac:dyDescent="0.3">
      <c r="D2208" s="123"/>
      <c r="E2208" s="15"/>
    </row>
    <row r="2209" spans="4:5" x14ac:dyDescent="0.3">
      <c r="D2209" s="123"/>
      <c r="E2209" s="15"/>
    </row>
    <row r="2210" spans="4:5" x14ac:dyDescent="0.3">
      <c r="D2210" s="123"/>
      <c r="E2210" s="15"/>
    </row>
    <row r="2211" spans="4:5" x14ac:dyDescent="0.3">
      <c r="D2211" s="123"/>
      <c r="E2211" s="15"/>
    </row>
    <row r="2212" spans="4:5" x14ac:dyDescent="0.3">
      <c r="D2212" s="123"/>
      <c r="E2212" s="15"/>
    </row>
    <row r="2213" spans="4:5" x14ac:dyDescent="0.3">
      <c r="D2213" s="123"/>
      <c r="E2213" s="15"/>
    </row>
    <row r="2214" spans="4:5" x14ac:dyDescent="0.3">
      <c r="D2214" s="123"/>
      <c r="E2214" s="15"/>
    </row>
    <row r="2215" spans="4:5" x14ac:dyDescent="0.3">
      <c r="D2215" s="123"/>
      <c r="E2215" s="15"/>
    </row>
    <row r="2216" spans="4:5" x14ac:dyDescent="0.3">
      <c r="D2216" s="123"/>
      <c r="E2216" s="15"/>
    </row>
    <row r="2217" spans="4:5" x14ac:dyDescent="0.3">
      <c r="D2217" s="123"/>
      <c r="E2217" s="15"/>
    </row>
    <row r="2218" spans="4:5" x14ac:dyDescent="0.3">
      <c r="D2218" s="123"/>
      <c r="E2218" s="15"/>
    </row>
    <row r="2219" spans="4:5" x14ac:dyDescent="0.3">
      <c r="D2219" s="123"/>
      <c r="E2219" s="15"/>
    </row>
    <row r="2220" spans="4:5" x14ac:dyDescent="0.3">
      <c r="D2220" s="123"/>
      <c r="E2220" s="15"/>
    </row>
    <row r="2221" spans="4:5" x14ac:dyDescent="0.3">
      <c r="D2221" s="123"/>
      <c r="E2221" s="15"/>
    </row>
    <row r="2222" spans="4:5" x14ac:dyDescent="0.3">
      <c r="D2222" s="123"/>
      <c r="E2222" s="15"/>
    </row>
    <row r="2223" spans="4:5" x14ac:dyDescent="0.3">
      <c r="D2223" s="123"/>
      <c r="E2223" s="15"/>
    </row>
    <row r="2224" spans="4:5" x14ac:dyDescent="0.3">
      <c r="D2224" s="123"/>
      <c r="E2224" s="15"/>
    </row>
    <row r="2225" spans="4:5" x14ac:dyDescent="0.3">
      <c r="D2225" s="123"/>
      <c r="E2225" s="15"/>
    </row>
    <row r="2226" spans="4:5" x14ac:dyDescent="0.3">
      <c r="D2226" s="123"/>
      <c r="E2226" s="15"/>
    </row>
    <row r="2227" spans="4:5" x14ac:dyDescent="0.3">
      <c r="D2227" s="123"/>
      <c r="E2227" s="15"/>
    </row>
    <row r="2228" spans="4:5" x14ac:dyDescent="0.3">
      <c r="D2228" s="123"/>
      <c r="E2228" s="15"/>
    </row>
    <row r="2229" spans="4:5" x14ac:dyDescent="0.3">
      <c r="D2229" s="123"/>
      <c r="E2229" s="15"/>
    </row>
    <row r="2230" spans="4:5" x14ac:dyDescent="0.3">
      <c r="D2230" s="123"/>
      <c r="E2230" s="15"/>
    </row>
    <row r="2231" spans="4:5" x14ac:dyDescent="0.3">
      <c r="D2231" s="123"/>
      <c r="E2231" s="15"/>
    </row>
    <row r="2232" spans="4:5" x14ac:dyDescent="0.3">
      <c r="D2232" s="123"/>
      <c r="E2232" s="15"/>
    </row>
    <row r="2233" spans="4:5" x14ac:dyDescent="0.3">
      <c r="D2233" s="123"/>
      <c r="E2233" s="15"/>
    </row>
    <row r="2234" spans="4:5" x14ac:dyDescent="0.3">
      <c r="D2234" s="123"/>
      <c r="E2234" s="15"/>
    </row>
    <row r="2235" spans="4:5" x14ac:dyDescent="0.3">
      <c r="D2235" s="123"/>
      <c r="E2235" s="15"/>
    </row>
    <row r="2236" spans="4:5" x14ac:dyDescent="0.3">
      <c r="D2236" s="123"/>
      <c r="E2236" s="15"/>
    </row>
    <row r="2237" spans="4:5" x14ac:dyDescent="0.3">
      <c r="D2237" s="123"/>
      <c r="E2237" s="15"/>
    </row>
    <row r="2238" spans="4:5" x14ac:dyDescent="0.3">
      <c r="D2238" s="123"/>
      <c r="E2238" s="15"/>
    </row>
    <row r="2239" spans="4:5" x14ac:dyDescent="0.3">
      <c r="D2239" s="123"/>
      <c r="E2239" s="15"/>
    </row>
    <row r="2240" spans="4:5" x14ac:dyDescent="0.3">
      <c r="D2240" s="123"/>
      <c r="E2240" s="15"/>
    </row>
    <row r="2241" spans="4:5" x14ac:dyDescent="0.3">
      <c r="D2241" s="123"/>
      <c r="E2241" s="15"/>
    </row>
    <row r="2242" spans="4:5" x14ac:dyDescent="0.3">
      <c r="D2242" s="123"/>
      <c r="E2242" s="15"/>
    </row>
    <row r="2243" spans="4:5" x14ac:dyDescent="0.3">
      <c r="D2243" s="123"/>
      <c r="E2243" s="15"/>
    </row>
    <row r="2244" spans="4:5" x14ac:dyDescent="0.3">
      <c r="D2244" s="123"/>
      <c r="E2244" s="15"/>
    </row>
    <row r="2245" spans="4:5" x14ac:dyDescent="0.3">
      <c r="D2245" s="123"/>
      <c r="E2245" s="15"/>
    </row>
    <row r="2246" spans="4:5" x14ac:dyDescent="0.3">
      <c r="D2246" s="123"/>
      <c r="E2246" s="15"/>
    </row>
    <row r="2247" spans="4:5" x14ac:dyDescent="0.3">
      <c r="D2247" s="123"/>
      <c r="E2247" s="15"/>
    </row>
    <row r="2248" spans="4:5" x14ac:dyDescent="0.3">
      <c r="D2248" s="123"/>
      <c r="E2248" s="15"/>
    </row>
    <row r="2249" spans="4:5" x14ac:dyDescent="0.3">
      <c r="D2249" s="123"/>
      <c r="E2249" s="15"/>
    </row>
    <row r="2250" spans="4:5" x14ac:dyDescent="0.3">
      <c r="D2250" s="123"/>
      <c r="E2250" s="15"/>
    </row>
    <row r="2251" spans="4:5" x14ac:dyDescent="0.3">
      <c r="D2251" s="123"/>
      <c r="E2251" s="15"/>
    </row>
    <row r="2252" spans="4:5" x14ac:dyDescent="0.3">
      <c r="D2252" s="123"/>
      <c r="E2252" s="15"/>
    </row>
    <row r="2253" spans="4:5" x14ac:dyDescent="0.3">
      <c r="D2253" s="123"/>
      <c r="E2253" s="15"/>
    </row>
    <row r="2254" spans="4:5" x14ac:dyDescent="0.3">
      <c r="D2254" s="123"/>
      <c r="E2254" s="15"/>
    </row>
    <row r="2255" spans="4:5" x14ac:dyDescent="0.3">
      <c r="D2255" s="123"/>
      <c r="E2255" s="15"/>
    </row>
    <row r="2256" spans="4:5" x14ac:dyDescent="0.3">
      <c r="D2256" s="123"/>
      <c r="E2256" s="15"/>
    </row>
    <row r="2257" spans="4:5" x14ac:dyDescent="0.3">
      <c r="D2257" s="123"/>
      <c r="E2257" s="15"/>
    </row>
    <row r="2258" spans="4:5" x14ac:dyDescent="0.3">
      <c r="D2258" s="123"/>
      <c r="E2258" s="15"/>
    </row>
    <row r="2259" spans="4:5" x14ac:dyDescent="0.3">
      <c r="D2259" s="123"/>
      <c r="E2259" s="15"/>
    </row>
    <row r="2260" spans="4:5" x14ac:dyDescent="0.3">
      <c r="D2260" s="123"/>
      <c r="E2260" s="15"/>
    </row>
    <row r="2261" spans="4:5" x14ac:dyDescent="0.3">
      <c r="D2261" s="123"/>
      <c r="E2261" s="15"/>
    </row>
    <row r="2262" spans="4:5" x14ac:dyDescent="0.3">
      <c r="D2262" s="123"/>
      <c r="E2262" s="15"/>
    </row>
    <row r="2263" spans="4:5" x14ac:dyDescent="0.3">
      <c r="D2263" s="123"/>
      <c r="E2263" s="15"/>
    </row>
    <row r="2264" spans="4:5" x14ac:dyDescent="0.3">
      <c r="D2264" s="123"/>
      <c r="E2264" s="15"/>
    </row>
    <row r="2265" spans="4:5" x14ac:dyDescent="0.3">
      <c r="D2265" s="123"/>
      <c r="E2265" s="15"/>
    </row>
    <row r="2266" spans="4:5" x14ac:dyDescent="0.3">
      <c r="D2266" s="123"/>
      <c r="E2266" s="15"/>
    </row>
    <row r="2267" spans="4:5" x14ac:dyDescent="0.3">
      <c r="D2267" s="123"/>
      <c r="E2267" s="15"/>
    </row>
    <row r="2268" spans="4:5" x14ac:dyDescent="0.3">
      <c r="D2268" s="123"/>
      <c r="E2268" s="15"/>
    </row>
    <row r="2269" spans="4:5" x14ac:dyDescent="0.3">
      <c r="D2269" s="123"/>
      <c r="E2269" s="15"/>
    </row>
    <row r="2270" spans="4:5" x14ac:dyDescent="0.3">
      <c r="D2270" s="123"/>
      <c r="E2270" s="15"/>
    </row>
    <row r="2271" spans="4:5" x14ac:dyDescent="0.3">
      <c r="D2271" s="123"/>
      <c r="E2271" s="15"/>
    </row>
    <row r="2272" spans="4:5" x14ac:dyDescent="0.3">
      <c r="D2272" s="123"/>
      <c r="E2272" s="15"/>
    </row>
    <row r="2273" spans="4:5" x14ac:dyDescent="0.3">
      <c r="D2273" s="123"/>
      <c r="E2273" s="15"/>
    </row>
    <row r="2274" spans="4:5" x14ac:dyDescent="0.3">
      <c r="D2274" s="123"/>
      <c r="E2274" s="15"/>
    </row>
    <row r="2275" spans="4:5" x14ac:dyDescent="0.3">
      <c r="D2275" s="123"/>
      <c r="E2275" s="15"/>
    </row>
    <row r="2276" spans="4:5" x14ac:dyDescent="0.3">
      <c r="D2276" s="123"/>
      <c r="E2276" s="15"/>
    </row>
    <row r="2277" spans="4:5" x14ac:dyDescent="0.3">
      <c r="D2277" s="123"/>
      <c r="E2277" s="15"/>
    </row>
    <row r="2278" spans="4:5" x14ac:dyDescent="0.3">
      <c r="D2278" s="123"/>
      <c r="E2278" s="15"/>
    </row>
    <row r="2279" spans="4:5" x14ac:dyDescent="0.3">
      <c r="D2279" s="123"/>
      <c r="E2279" s="15"/>
    </row>
    <row r="2280" spans="4:5" x14ac:dyDescent="0.3">
      <c r="D2280" s="123"/>
      <c r="E2280" s="15"/>
    </row>
    <row r="2281" spans="4:5" x14ac:dyDescent="0.3">
      <c r="D2281" s="123"/>
      <c r="E2281" s="15"/>
    </row>
    <row r="2282" spans="4:5" x14ac:dyDescent="0.3">
      <c r="D2282" s="123"/>
      <c r="E2282" s="15"/>
    </row>
    <row r="2283" spans="4:5" x14ac:dyDescent="0.3">
      <c r="D2283" s="123"/>
      <c r="E2283" s="15"/>
    </row>
    <row r="2284" spans="4:5" x14ac:dyDescent="0.3">
      <c r="D2284" s="123"/>
      <c r="E2284" s="15"/>
    </row>
    <row r="2285" spans="4:5" x14ac:dyDescent="0.3">
      <c r="D2285" s="123"/>
      <c r="E2285" s="15"/>
    </row>
    <row r="2286" spans="4:5" x14ac:dyDescent="0.3">
      <c r="D2286" s="123"/>
      <c r="E2286" s="15"/>
    </row>
    <row r="2287" spans="4:5" x14ac:dyDescent="0.3">
      <c r="D2287" s="123"/>
      <c r="E2287" s="15"/>
    </row>
    <row r="2288" spans="4:5" x14ac:dyDescent="0.3">
      <c r="D2288" s="123"/>
      <c r="E2288" s="15"/>
    </row>
    <row r="2289" spans="4:5" x14ac:dyDescent="0.3">
      <c r="D2289" s="123"/>
      <c r="E2289" s="15"/>
    </row>
    <row r="2290" spans="4:5" x14ac:dyDescent="0.3">
      <c r="D2290" s="123"/>
      <c r="E2290" s="15"/>
    </row>
    <row r="2291" spans="4:5" x14ac:dyDescent="0.3">
      <c r="D2291" s="123"/>
      <c r="E2291" s="15"/>
    </row>
    <row r="2292" spans="4:5" x14ac:dyDescent="0.3">
      <c r="D2292" s="123"/>
      <c r="E2292" s="15"/>
    </row>
    <row r="2293" spans="4:5" x14ac:dyDescent="0.3">
      <c r="D2293" s="123"/>
      <c r="E2293" s="15"/>
    </row>
    <row r="2294" spans="4:5" x14ac:dyDescent="0.3">
      <c r="D2294" s="123"/>
      <c r="E2294" s="15"/>
    </row>
    <row r="2295" spans="4:5" x14ac:dyDescent="0.3">
      <c r="D2295" s="123"/>
      <c r="E2295" s="15"/>
    </row>
    <row r="2296" spans="4:5" x14ac:dyDescent="0.3">
      <c r="D2296" s="123"/>
      <c r="E2296" s="15"/>
    </row>
    <row r="2297" spans="4:5" x14ac:dyDescent="0.3">
      <c r="D2297" s="123"/>
      <c r="E2297" s="15"/>
    </row>
    <row r="2298" spans="4:5" x14ac:dyDescent="0.3">
      <c r="D2298" s="123"/>
      <c r="E2298" s="15"/>
    </row>
    <row r="2299" spans="4:5" x14ac:dyDescent="0.3">
      <c r="D2299" s="123"/>
      <c r="E2299" s="15"/>
    </row>
    <row r="2300" spans="4:5" x14ac:dyDescent="0.3">
      <c r="D2300" s="123"/>
      <c r="E2300" s="15"/>
    </row>
    <row r="2301" spans="4:5" x14ac:dyDescent="0.3">
      <c r="D2301" s="123"/>
      <c r="E2301" s="15"/>
    </row>
    <row r="2302" spans="4:5" x14ac:dyDescent="0.3">
      <c r="D2302" s="123"/>
      <c r="E2302" s="15"/>
    </row>
    <row r="2303" spans="4:5" x14ac:dyDescent="0.3">
      <c r="D2303" s="123"/>
      <c r="E2303" s="15"/>
    </row>
    <row r="2304" spans="4:5" x14ac:dyDescent="0.3">
      <c r="D2304" s="123"/>
      <c r="E2304" s="15"/>
    </row>
    <row r="2305" spans="4:5" x14ac:dyDescent="0.3">
      <c r="D2305" s="123"/>
      <c r="E2305" s="15"/>
    </row>
    <row r="2306" spans="4:5" x14ac:dyDescent="0.3">
      <c r="D2306" s="123"/>
      <c r="E2306" s="15"/>
    </row>
    <row r="2307" spans="4:5" x14ac:dyDescent="0.3">
      <c r="D2307" s="123"/>
      <c r="E2307" s="15"/>
    </row>
    <row r="2308" spans="4:5" x14ac:dyDescent="0.3">
      <c r="D2308" s="123"/>
      <c r="E2308" s="15"/>
    </row>
    <row r="2309" spans="4:5" x14ac:dyDescent="0.3">
      <c r="D2309" s="123"/>
      <c r="E2309" s="15"/>
    </row>
    <row r="2310" spans="4:5" x14ac:dyDescent="0.3">
      <c r="D2310" s="123"/>
      <c r="E2310" s="15"/>
    </row>
    <row r="2311" spans="4:5" x14ac:dyDescent="0.3">
      <c r="D2311" s="123"/>
      <c r="E2311" s="15"/>
    </row>
    <row r="2312" spans="4:5" x14ac:dyDescent="0.3">
      <c r="D2312" s="123"/>
      <c r="E2312" s="15"/>
    </row>
    <row r="2313" spans="4:5" x14ac:dyDescent="0.3">
      <c r="D2313" s="123"/>
      <c r="E2313" s="15"/>
    </row>
    <row r="2314" spans="4:5" x14ac:dyDescent="0.3">
      <c r="D2314" s="123"/>
      <c r="E2314" s="15"/>
    </row>
    <row r="2315" spans="4:5" x14ac:dyDescent="0.3">
      <c r="D2315" s="123"/>
      <c r="E2315" s="15"/>
    </row>
    <row r="2316" spans="4:5" x14ac:dyDescent="0.3">
      <c r="D2316" s="123"/>
      <c r="E2316" s="15"/>
    </row>
    <row r="2317" spans="4:5" x14ac:dyDescent="0.3">
      <c r="D2317" s="123"/>
      <c r="E2317" s="15"/>
    </row>
    <row r="2318" spans="4:5" x14ac:dyDescent="0.3">
      <c r="D2318" s="123"/>
      <c r="E2318" s="15"/>
    </row>
    <row r="2319" spans="4:5" x14ac:dyDescent="0.3">
      <c r="D2319" s="123"/>
      <c r="E2319" s="15"/>
    </row>
    <row r="2320" spans="4:5" x14ac:dyDescent="0.3">
      <c r="D2320" s="123"/>
      <c r="E2320" s="15"/>
    </row>
    <row r="2321" spans="4:5" x14ac:dyDescent="0.3">
      <c r="D2321" s="123"/>
      <c r="E2321" s="15"/>
    </row>
    <row r="2322" spans="4:5" x14ac:dyDescent="0.3">
      <c r="D2322" s="123"/>
      <c r="E2322" s="15"/>
    </row>
    <row r="2323" spans="4:5" x14ac:dyDescent="0.3">
      <c r="D2323" s="123"/>
      <c r="E2323" s="15"/>
    </row>
    <row r="2324" spans="4:5" x14ac:dyDescent="0.3">
      <c r="D2324" s="123"/>
      <c r="E2324" s="15"/>
    </row>
    <row r="2325" spans="4:5" x14ac:dyDescent="0.3">
      <c r="D2325" s="123"/>
      <c r="E2325" s="15"/>
    </row>
    <row r="2326" spans="4:5" x14ac:dyDescent="0.3">
      <c r="D2326" s="123"/>
      <c r="E2326" s="15"/>
    </row>
    <row r="2327" spans="4:5" x14ac:dyDescent="0.3">
      <c r="D2327" s="123"/>
      <c r="E2327" s="15"/>
    </row>
    <row r="2328" spans="4:5" x14ac:dyDescent="0.3">
      <c r="D2328" s="123"/>
      <c r="E2328" s="15"/>
    </row>
    <row r="2329" spans="4:5" x14ac:dyDescent="0.3">
      <c r="D2329" s="123"/>
      <c r="E2329" s="15"/>
    </row>
    <row r="2330" spans="4:5" x14ac:dyDescent="0.3">
      <c r="D2330" s="123"/>
      <c r="E2330" s="15"/>
    </row>
    <row r="2331" spans="4:5" x14ac:dyDescent="0.3">
      <c r="D2331" s="123"/>
      <c r="E2331" s="15"/>
    </row>
    <row r="2332" spans="4:5" x14ac:dyDescent="0.3">
      <c r="D2332" s="123"/>
      <c r="E2332" s="15"/>
    </row>
    <row r="2333" spans="4:5" x14ac:dyDescent="0.3">
      <c r="D2333" s="123"/>
      <c r="E2333" s="15"/>
    </row>
    <row r="2334" spans="4:5" x14ac:dyDescent="0.3">
      <c r="D2334" s="123"/>
      <c r="E2334" s="15"/>
    </row>
    <row r="2335" spans="4:5" x14ac:dyDescent="0.3">
      <c r="D2335" s="123"/>
      <c r="E2335" s="15"/>
    </row>
    <row r="2336" spans="4:5" x14ac:dyDescent="0.3">
      <c r="D2336" s="123"/>
      <c r="E2336" s="15"/>
    </row>
    <row r="2337" spans="4:5" x14ac:dyDescent="0.3">
      <c r="D2337" s="123"/>
      <c r="E2337" s="15"/>
    </row>
    <row r="2338" spans="4:5" x14ac:dyDescent="0.3">
      <c r="D2338" s="123"/>
      <c r="E2338" s="15"/>
    </row>
    <row r="2339" spans="4:5" x14ac:dyDescent="0.3">
      <c r="D2339" s="123"/>
      <c r="E2339" s="15"/>
    </row>
    <row r="2340" spans="4:5" x14ac:dyDescent="0.3">
      <c r="D2340" s="123"/>
      <c r="E2340" s="15"/>
    </row>
    <row r="2341" spans="4:5" x14ac:dyDescent="0.3">
      <c r="D2341" s="123"/>
      <c r="E2341" s="15"/>
    </row>
    <row r="2342" spans="4:5" x14ac:dyDescent="0.3">
      <c r="D2342" s="123"/>
      <c r="E2342" s="15"/>
    </row>
    <row r="2343" spans="4:5" x14ac:dyDescent="0.3">
      <c r="D2343" s="123"/>
      <c r="E2343" s="15"/>
    </row>
    <row r="2344" spans="4:5" x14ac:dyDescent="0.3">
      <c r="D2344" s="123"/>
      <c r="E2344" s="15"/>
    </row>
    <row r="2345" spans="4:5" x14ac:dyDescent="0.3">
      <c r="D2345" s="123"/>
      <c r="E2345" s="15"/>
    </row>
    <row r="2346" spans="4:5" x14ac:dyDescent="0.3">
      <c r="D2346" s="123"/>
      <c r="E2346" s="15"/>
    </row>
    <row r="2347" spans="4:5" x14ac:dyDescent="0.3">
      <c r="D2347" s="123"/>
      <c r="E2347" s="15"/>
    </row>
    <row r="2348" spans="4:5" x14ac:dyDescent="0.3">
      <c r="D2348" s="123"/>
      <c r="E2348" s="15"/>
    </row>
    <row r="2349" spans="4:5" x14ac:dyDescent="0.3">
      <c r="D2349" s="123"/>
      <c r="E2349" s="15"/>
    </row>
    <row r="2350" spans="4:5" x14ac:dyDescent="0.3">
      <c r="D2350" s="123"/>
      <c r="E2350" s="15"/>
    </row>
    <row r="2351" spans="4:5" x14ac:dyDescent="0.3">
      <c r="D2351" s="123"/>
      <c r="E2351" s="15"/>
    </row>
    <row r="2352" spans="4:5" x14ac:dyDescent="0.3">
      <c r="D2352" s="123"/>
      <c r="E2352" s="15"/>
    </row>
    <row r="2353" spans="4:5" x14ac:dyDescent="0.3">
      <c r="D2353" s="123"/>
      <c r="E2353" s="15"/>
    </row>
    <row r="2354" spans="4:5" x14ac:dyDescent="0.3">
      <c r="D2354" s="123"/>
      <c r="E2354" s="15"/>
    </row>
    <row r="2355" spans="4:5" x14ac:dyDescent="0.3">
      <c r="D2355" s="123"/>
      <c r="E2355" s="15"/>
    </row>
    <row r="2356" spans="4:5" x14ac:dyDescent="0.3">
      <c r="D2356" s="123"/>
      <c r="E2356" s="15"/>
    </row>
    <row r="2357" spans="4:5" x14ac:dyDescent="0.3">
      <c r="D2357" s="123"/>
      <c r="E2357" s="15"/>
    </row>
    <row r="2358" spans="4:5" x14ac:dyDescent="0.3">
      <c r="D2358" s="123"/>
      <c r="E2358" s="15"/>
    </row>
    <row r="2359" spans="4:5" x14ac:dyDescent="0.3">
      <c r="D2359" s="123"/>
      <c r="E2359" s="15"/>
    </row>
    <row r="2360" spans="4:5" x14ac:dyDescent="0.3">
      <c r="D2360" s="123"/>
      <c r="E2360" s="15"/>
    </row>
    <row r="2361" spans="4:5" x14ac:dyDescent="0.3">
      <c r="D2361" s="123"/>
      <c r="E2361" s="15"/>
    </row>
    <row r="2362" spans="4:5" x14ac:dyDescent="0.3">
      <c r="D2362" s="123"/>
      <c r="E2362" s="15"/>
    </row>
    <row r="2363" spans="4:5" x14ac:dyDescent="0.3">
      <c r="D2363" s="123"/>
      <c r="E2363" s="15"/>
    </row>
    <row r="2364" spans="4:5" x14ac:dyDescent="0.3">
      <c r="D2364" s="123"/>
      <c r="E2364" s="15"/>
    </row>
    <row r="2365" spans="4:5" x14ac:dyDescent="0.3">
      <c r="D2365" s="123"/>
      <c r="E2365" s="15"/>
    </row>
    <row r="2366" spans="4:5" x14ac:dyDescent="0.3">
      <c r="D2366" s="123"/>
      <c r="E2366" s="15"/>
    </row>
    <row r="2367" spans="4:5" x14ac:dyDescent="0.3">
      <c r="D2367" s="123"/>
      <c r="E2367" s="15"/>
    </row>
    <row r="2368" spans="4:5" x14ac:dyDescent="0.3">
      <c r="D2368" s="123"/>
      <c r="E2368" s="15"/>
    </row>
    <row r="2369" spans="4:5" x14ac:dyDescent="0.3">
      <c r="D2369" s="123"/>
      <c r="E2369" s="15"/>
    </row>
    <row r="2370" spans="4:5" x14ac:dyDescent="0.3">
      <c r="D2370" s="123"/>
      <c r="E2370" s="15"/>
    </row>
    <row r="2371" spans="4:5" x14ac:dyDescent="0.3">
      <c r="D2371" s="123"/>
      <c r="E2371" s="15"/>
    </row>
    <row r="2372" spans="4:5" x14ac:dyDescent="0.3">
      <c r="D2372" s="123"/>
      <c r="E2372" s="15"/>
    </row>
    <row r="2373" spans="4:5" x14ac:dyDescent="0.3">
      <c r="D2373" s="123"/>
      <c r="E2373" s="15"/>
    </row>
    <row r="2374" spans="4:5" x14ac:dyDescent="0.3">
      <c r="D2374" s="123"/>
      <c r="E2374" s="15"/>
    </row>
    <row r="2375" spans="4:5" x14ac:dyDescent="0.3">
      <c r="D2375" s="123"/>
      <c r="E2375" s="15"/>
    </row>
    <row r="2376" spans="4:5" x14ac:dyDescent="0.3">
      <c r="D2376" s="123"/>
      <c r="E2376" s="15"/>
    </row>
    <row r="2377" spans="4:5" x14ac:dyDescent="0.3">
      <c r="D2377" s="123"/>
      <c r="E2377" s="15"/>
    </row>
    <row r="2378" spans="4:5" x14ac:dyDescent="0.3">
      <c r="D2378" s="123"/>
      <c r="E2378" s="15"/>
    </row>
    <row r="2379" spans="4:5" x14ac:dyDescent="0.3">
      <c r="D2379" s="123"/>
      <c r="E2379" s="15"/>
    </row>
    <row r="2380" spans="4:5" x14ac:dyDescent="0.3">
      <c r="D2380" s="123"/>
      <c r="E2380" s="15"/>
    </row>
    <row r="2381" spans="4:5" x14ac:dyDescent="0.3">
      <c r="D2381" s="123"/>
      <c r="E2381" s="15"/>
    </row>
    <row r="2382" spans="4:5" x14ac:dyDescent="0.3">
      <c r="D2382" s="123"/>
      <c r="E2382" s="15"/>
    </row>
    <row r="2383" spans="4:5" x14ac:dyDescent="0.3">
      <c r="D2383" s="123"/>
      <c r="E2383" s="15"/>
    </row>
    <row r="2384" spans="4:5" x14ac:dyDescent="0.3">
      <c r="D2384" s="123"/>
      <c r="E2384" s="15"/>
    </row>
    <row r="2385" spans="4:5" x14ac:dyDescent="0.3">
      <c r="D2385" s="123"/>
      <c r="E2385" s="15"/>
    </row>
    <row r="2386" spans="4:5" x14ac:dyDescent="0.3">
      <c r="D2386" s="123"/>
      <c r="E2386" s="15"/>
    </row>
    <row r="2387" spans="4:5" x14ac:dyDescent="0.3">
      <c r="D2387" s="123"/>
      <c r="E2387" s="15"/>
    </row>
    <row r="2388" spans="4:5" x14ac:dyDescent="0.3">
      <c r="D2388" s="123"/>
      <c r="E2388" s="15"/>
    </row>
    <row r="2389" spans="4:5" x14ac:dyDescent="0.3">
      <c r="D2389" s="123"/>
      <c r="E2389" s="15"/>
    </row>
    <row r="2390" spans="4:5" x14ac:dyDescent="0.3">
      <c r="D2390" s="123"/>
      <c r="E2390" s="15"/>
    </row>
    <row r="2391" spans="4:5" x14ac:dyDescent="0.3">
      <c r="D2391" s="123"/>
      <c r="E2391" s="15"/>
    </row>
    <row r="2392" spans="4:5" x14ac:dyDescent="0.3">
      <c r="D2392" s="123"/>
      <c r="E2392" s="15"/>
    </row>
    <row r="2393" spans="4:5" x14ac:dyDescent="0.3">
      <c r="D2393" s="123"/>
      <c r="E2393" s="15"/>
    </row>
    <row r="2394" spans="4:5" x14ac:dyDescent="0.3">
      <c r="D2394" s="123"/>
      <c r="E2394" s="15"/>
    </row>
    <row r="2395" spans="4:5" x14ac:dyDescent="0.3">
      <c r="D2395" s="123"/>
      <c r="E2395" s="15"/>
    </row>
    <row r="2396" spans="4:5" x14ac:dyDescent="0.3">
      <c r="D2396" s="123"/>
      <c r="E2396" s="15"/>
    </row>
    <row r="2397" spans="4:5" x14ac:dyDescent="0.3">
      <c r="D2397" s="123"/>
      <c r="E2397" s="15"/>
    </row>
    <row r="2398" spans="4:5" x14ac:dyDescent="0.3">
      <c r="D2398" s="123"/>
      <c r="E2398" s="15"/>
    </row>
    <row r="2399" spans="4:5" x14ac:dyDescent="0.3">
      <c r="D2399" s="123"/>
      <c r="E2399" s="15"/>
    </row>
    <row r="2400" spans="4:5" x14ac:dyDescent="0.3">
      <c r="D2400" s="123"/>
      <c r="E2400" s="15"/>
    </row>
    <row r="2401" spans="4:5" x14ac:dyDescent="0.3">
      <c r="D2401" s="123"/>
      <c r="E2401" s="15"/>
    </row>
    <row r="2402" spans="4:5" x14ac:dyDescent="0.3">
      <c r="D2402" s="123"/>
      <c r="E2402" s="15"/>
    </row>
    <row r="2403" spans="4:5" x14ac:dyDescent="0.3">
      <c r="D2403" s="123"/>
      <c r="E2403" s="15"/>
    </row>
    <row r="2404" spans="4:5" x14ac:dyDescent="0.3">
      <c r="D2404" s="123"/>
      <c r="E2404" s="15"/>
    </row>
    <row r="2405" spans="4:5" x14ac:dyDescent="0.3">
      <c r="D2405" s="123"/>
      <c r="E2405" s="15"/>
    </row>
    <row r="2406" spans="4:5" x14ac:dyDescent="0.3">
      <c r="D2406" s="123"/>
      <c r="E2406" s="15"/>
    </row>
    <row r="2407" spans="4:5" x14ac:dyDescent="0.3">
      <c r="D2407" s="123"/>
      <c r="E2407" s="15"/>
    </row>
    <row r="2408" spans="4:5" x14ac:dyDescent="0.3">
      <c r="D2408" s="123"/>
      <c r="E2408" s="15"/>
    </row>
    <row r="2409" spans="4:5" x14ac:dyDescent="0.3">
      <c r="D2409" s="123"/>
      <c r="E2409" s="15"/>
    </row>
    <row r="2410" spans="4:5" x14ac:dyDescent="0.3">
      <c r="D2410" s="123"/>
      <c r="E2410" s="15"/>
    </row>
    <row r="2411" spans="4:5" x14ac:dyDescent="0.3">
      <c r="D2411" s="123"/>
      <c r="E2411" s="15"/>
    </row>
    <row r="2412" spans="4:5" x14ac:dyDescent="0.3">
      <c r="D2412" s="123"/>
      <c r="E2412" s="15"/>
    </row>
    <row r="2413" spans="4:5" x14ac:dyDescent="0.3">
      <c r="D2413" s="123"/>
      <c r="E2413" s="15"/>
    </row>
    <row r="2414" spans="4:5" x14ac:dyDescent="0.3">
      <c r="D2414" s="123"/>
      <c r="E2414" s="15"/>
    </row>
    <row r="2415" spans="4:5" x14ac:dyDescent="0.3">
      <c r="D2415" s="123"/>
      <c r="E2415" s="15"/>
    </row>
    <row r="2416" spans="4:5" x14ac:dyDescent="0.3">
      <c r="D2416" s="123"/>
      <c r="E2416" s="15"/>
    </row>
    <row r="2417" spans="4:5" x14ac:dyDescent="0.3">
      <c r="D2417" s="123"/>
      <c r="E2417" s="15"/>
    </row>
    <row r="2418" spans="4:5" x14ac:dyDescent="0.3">
      <c r="D2418" s="123"/>
      <c r="E2418" s="15"/>
    </row>
    <row r="2419" spans="4:5" x14ac:dyDescent="0.3">
      <c r="D2419" s="123"/>
      <c r="E2419" s="15"/>
    </row>
    <row r="2420" spans="4:5" x14ac:dyDescent="0.3">
      <c r="D2420" s="123"/>
      <c r="E2420" s="15"/>
    </row>
    <row r="2421" spans="4:5" x14ac:dyDescent="0.3">
      <c r="D2421" s="123"/>
      <c r="E2421" s="15"/>
    </row>
    <row r="2422" spans="4:5" x14ac:dyDescent="0.3">
      <c r="D2422" s="123"/>
      <c r="E2422" s="15"/>
    </row>
    <row r="2423" spans="4:5" x14ac:dyDescent="0.3">
      <c r="D2423" s="123"/>
      <c r="E2423" s="15"/>
    </row>
    <row r="2424" spans="4:5" x14ac:dyDescent="0.3">
      <c r="D2424" s="123"/>
      <c r="E2424" s="15"/>
    </row>
    <row r="2425" spans="4:5" x14ac:dyDescent="0.3">
      <c r="D2425" s="123"/>
      <c r="E2425" s="15"/>
    </row>
    <row r="2426" spans="4:5" x14ac:dyDescent="0.3">
      <c r="D2426" s="123"/>
      <c r="E2426" s="15"/>
    </row>
    <row r="2427" spans="4:5" x14ac:dyDescent="0.3">
      <c r="D2427" s="123"/>
      <c r="E2427" s="15"/>
    </row>
    <row r="2428" spans="4:5" x14ac:dyDescent="0.3">
      <c r="D2428" s="123"/>
      <c r="E2428" s="15"/>
    </row>
    <row r="2429" spans="4:5" x14ac:dyDescent="0.3">
      <c r="D2429" s="123"/>
      <c r="E2429" s="15"/>
    </row>
    <row r="2430" spans="4:5" x14ac:dyDescent="0.3">
      <c r="D2430" s="123"/>
      <c r="E2430" s="15"/>
    </row>
    <row r="2431" spans="4:5" x14ac:dyDescent="0.3">
      <c r="D2431" s="123"/>
      <c r="E2431" s="15"/>
    </row>
    <row r="2432" spans="4:5" x14ac:dyDescent="0.3">
      <c r="D2432" s="123"/>
      <c r="E2432" s="15"/>
    </row>
    <row r="2433" spans="4:5" x14ac:dyDescent="0.3">
      <c r="D2433" s="123"/>
      <c r="E2433" s="15"/>
    </row>
    <row r="2434" spans="4:5" x14ac:dyDescent="0.3">
      <c r="D2434" s="123"/>
      <c r="E2434" s="15"/>
    </row>
    <row r="2435" spans="4:5" x14ac:dyDescent="0.3">
      <c r="D2435" s="123"/>
      <c r="E2435" s="15"/>
    </row>
    <row r="2436" spans="4:5" x14ac:dyDescent="0.3">
      <c r="D2436" s="123"/>
      <c r="E2436" s="15"/>
    </row>
    <row r="2437" spans="4:5" x14ac:dyDescent="0.3">
      <c r="D2437" s="123"/>
      <c r="E2437" s="15"/>
    </row>
    <row r="2438" spans="4:5" x14ac:dyDescent="0.3">
      <c r="D2438" s="123"/>
      <c r="E2438" s="15"/>
    </row>
    <row r="2439" spans="4:5" x14ac:dyDescent="0.3">
      <c r="D2439" s="123"/>
      <c r="E2439" s="15"/>
    </row>
    <row r="2440" spans="4:5" x14ac:dyDescent="0.3">
      <c r="D2440" s="123"/>
      <c r="E2440" s="15"/>
    </row>
    <row r="2441" spans="4:5" x14ac:dyDescent="0.3">
      <c r="D2441" s="123"/>
      <c r="E2441" s="15"/>
    </row>
    <row r="2442" spans="4:5" x14ac:dyDescent="0.3">
      <c r="D2442" s="123"/>
      <c r="E2442" s="15"/>
    </row>
    <row r="2443" spans="4:5" x14ac:dyDescent="0.3">
      <c r="D2443" s="123"/>
      <c r="E2443" s="15"/>
    </row>
    <row r="2444" spans="4:5" x14ac:dyDescent="0.3">
      <c r="D2444" s="123"/>
      <c r="E2444" s="15"/>
    </row>
    <row r="2445" spans="4:5" x14ac:dyDescent="0.3">
      <c r="D2445" s="123"/>
      <c r="E2445" s="15"/>
    </row>
    <row r="2446" spans="4:5" x14ac:dyDescent="0.3">
      <c r="D2446" s="123"/>
      <c r="E2446" s="15"/>
    </row>
    <row r="2447" spans="4:5" x14ac:dyDescent="0.3">
      <c r="D2447" s="123"/>
      <c r="E2447" s="15"/>
    </row>
    <row r="2448" spans="4:5" x14ac:dyDescent="0.3">
      <c r="D2448" s="123"/>
      <c r="E2448" s="15"/>
    </row>
    <row r="2449" spans="4:5" x14ac:dyDescent="0.3">
      <c r="D2449" s="123"/>
      <c r="E2449" s="15"/>
    </row>
    <row r="2450" spans="4:5" x14ac:dyDescent="0.3">
      <c r="D2450" s="123"/>
      <c r="E2450" s="15"/>
    </row>
    <row r="2451" spans="4:5" x14ac:dyDescent="0.3">
      <c r="D2451" s="123"/>
      <c r="E2451" s="15"/>
    </row>
    <row r="2452" spans="4:5" x14ac:dyDescent="0.3">
      <c r="D2452" s="123"/>
      <c r="E2452" s="15"/>
    </row>
    <row r="2453" spans="4:5" x14ac:dyDescent="0.3">
      <c r="D2453" s="123"/>
      <c r="E2453" s="15"/>
    </row>
    <row r="2454" spans="4:5" x14ac:dyDescent="0.3">
      <c r="D2454" s="123"/>
      <c r="E2454" s="15"/>
    </row>
    <row r="2455" spans="4:5" x14ac:dyDescent="0.3">
      <c r="D2455" s="123"/>
      <c r="E2455" s="15"/>
    </row>
    <row r="2456" spans="4:5" x14ac:dyDescent="0.3">
      <c r="D2456" s="123"/>
      <c r="E2456" s="15"/>
    </row>
    <row r="2457" spans="4:5" x14ac:dyDescent="0.3">
      <c r="D2457" s="123"/>
      <c r="E2457" s="15"/>
    </row>
    <row r="2458" spans="4:5" x14ac:dyDescent="0.3">
      <c r="D2458" s="123"/>
      <c r="E2458" s="15"/>
    </row>
    <row r="2459" spans="4:5" x14ac:dyDescent="0.3">
      <c r="D2459" s="123"/>
      <c r="E2459" s="15"/>
    </row>
    <row r="2460" spans="4:5" x14ac:dyDescent="0.3">
      <c r="D2460" s="123"/>
      <c r="E2460" s="15"/>
    </row>
    <row r="2461" spans="4:5" x14ac:dyDescent="0.3">
      <c r="D2461" s="123"/>
      <c r="E2461" s="15"/>
    </row>
    <row r="2462" spans="4:5" x14ac:dyDescent="0.3">
      <c r="D2462" s="123"/>
      <c r="E2462" s="15"/>
    </row>
    <row r="2463" spans="4:5" x14ac:dyDescent="0.3">
      <c r="D2463" s="123"/>
      <c r="E2463" s="15"/>
    </row>
    <row r="2464" spans="4:5" x14ac:dyDescent="0.3">
      <c r="D2464" s="123"/>
      <c r="E2464" s="15"/>
    </row>
    <row r="2465" spans="4:5" x14ac:dyDescent="0.3">
      <c r="D2465" s="123"/>
      <c r="E2465" s="15"/>
    </row>
    <row r="2466" spans="4:5" x14ac:dyDescent="0.3">
      <c r="D2466" s="123"/>
      <c r="E2466" s="15"/>
    </row>
    <row r="2467" spans="4:5" x14ac:dyDescent="0.3">
      <c r="D2467" s="123"/>
      <c r="E2467" s="15"/>
    </row>
    <row r="2468" spans="4:5" x14ac:dyDescent="0.3">
      <c r="D2468" s="123"/>
      <c r="E2468" s="15"/>
    </row>
    <row r="2469" spans="4:5" x14ac:dyDescent="0.3">
      <c r="D2469" s="123"/>
      <c r="E2469" s="15"/>
    </row>
    <row r="2470" spans="4:5" x14ac:dyDescent="0.3">
      <c r="D2470" s="123"/>
      <c r="E2470" s="15"/>
    </row>
    <row r="2471" spans="4:5" x14ac:dyDescent="0.3">
      <c r="D2471" s="123"/>
      <c r="E2471" s="15"/>
    </row>
    <row r="2472" spans="4:5" x14ac:dyDescent="0.3">
      <c r="D2472" s="123"/>
      <c r="E2472" s="15"/>
    </row>
    <row r="2473" spans="4:5" x14ac:dyDescent="0.3">
      <c r="D2473" s="123"/>
      <c r="E2473" s="15"/>
    </row>
    <row r="2474" spans="4:5" x14ac:dyDescent="0.3">
      <c r="D2474" s="123"/>
      <c r="E2474" s="15"/>
    </row>
    <row r="2475" spans="4:5" x14ac:dyDescent="0.3">
      <c r="D2475" s="123"/>
      <c r="E2475" s="15"/>
    </row>
    <row r="2476" spans="4:5" x14ac:dyDescent="0.3">
      <c r="D2476" s="123"/>
      <c r="E2476" s="15"/>
    </row>
    <row r="2477" spans="4:5" x14ac:dyDescent="0.3">
      <c r="D2477" s="123"/>
      <c r="E2477" s="15"/>
    </row>
    <row r="2478" spans="4:5" x14ac:dyDescent="0.3">
      <c r="D2478" s="123"/>
      <c r="E2478" s="15"/>
    </row>
    <row r="2479" spans="4:5" x14ac:dyDescent="0.3">
      <c r="D2479" s="123"/>
      <c r="E2479" s="15"/>
    </row>
    <row r="2480" spans="4:5" x14ac:dyDescent="0.3">
      <c r="D2480" s="123"/>
      <c r="E2480" s="15"/>
    </row>
    <row r="2481" spans="4:5" x14ac:dyDescent="0.3">
      <c r="D2481" s="123"/>
      <c r="E2481" s="15"/>
    </row>
    <row r="2482" spans="4:5" x14ac:dyDescent="0.3">
      <c r="D2482" s="123"/>
      <c r="E2482" s="15"/>
    </row>
    <row r="2483" spans="4:5" x14ac:dyDescent="0.3">
      <c r="D2483" s="123"/>
      <c r="E2483" s="15"/>
    </row>
    <row r="2484" spans="4:5" x14ac:dyDescent="0.3">
      <c r="D2484" s="123"/>
      <c r="E2484" s="15"/>
    </row>
    <row r="2485" spans="4:5" x14ac:dyDescent="0.3">
      <c r="D2485" s="123"/>
      <c r="E2485" s="15"/>
    </row>
    <row r="2486" spans="4:5" x14ac:dyDescent="0.3">
      <c r="D2486" s="123"/>
      <c r="E2486" s="15"/>
    </row>
    <row r="2487" spans="4:5" x14ac:dyDescent="0.3">
      <c r="D2487" s="123"/>
      <c r="E2487" s="15"/>
    </row>
    <row r="2488" spans="4:5" x14ac:dyDescent="0.3">
      <c r="D2488" s="123"/>
      <c r="E2488" s="15"/>
    </row>
    <row r="2489" spans="4:5" x14ac:dyDescent="0.3">
      <c r="D2489" s="123"/>
      <c r="E2489" s="15"/>
    </row>
    <row r="2490" spans="4:5" x14ac:dyDescent="0.3">
      <c r="D2490" s="123"/>
      <c r="E2490" s="15"/>
    </row>
    <row r="2491" spans="4:5" x14ac:dyDescent="0.3">
      <c r="D2491" s="123"/>
      <c r="E2491" s="15"/>
    </row>
    <row r="2492" spans="4:5" x14ac:dyDescent="0.3">
      <c r="D2492" s="123"/>
      <c r="E2492" s="15"/>
    </row>
    <row r="2493" spans="4:5" x14ac:dyDescent="0.3">
      <c r="D2493" s="123"/>
      <c r="E2493" s="15"/>
    </row>
    <row r="2494" spans="4:5" x14ac:dyDescent="0.3">
      <c r="D2494" s="123"/>
      <c r="E2494" s="15"/>
    </row>
    <row r="2495" spans="4:5" x14ac:dyDescent="0.3">
      <c r="D2495" s="123"/>
      <c r="E2495" s="15"/>
    </row>
    <row r="2496" spans="4:5" x14ac:dyDescent="0.3">
      <c r="D2496" s="123"/>
      <c r="E2496" s="15"/>
    </row>
    <row r="2497" spans="4:5" x14ac:dyDescent="0.3">
      <c r="D2497" s="123"/>
      <c r="E2497" s="15"/>
    </row>
    <row r="2498" spans="4:5" x14ac:dyDescent="0.3">
      <c r="D2498" s="123"/>
      <c r="E2498" s="15"/>
    </row>
    <row r="2499" spans="4:5" x14ac:dyDescent="0.3">
      <c r="D2499" s="123"/>
      <c r="E2499" s="15"/>
    </row>
    <row r="2500" spans="4:5" x14ac:dyDescent="0.3">
      <c r="D2500" s="123"/>
      <c r="E2500" s="15"/>
    </row>
    <row r="2501" spans="4:5" x14ac:dyDescent="0.3">
      <c r="D2501" s="123"/>
      <c r="E2501" s="15"/>
    </row>
    <row r="2502" spans="4:5" x14ac:dyDescent="0.3">
      <c r="D2502" s="123"/>
      <c r="E2502" s="15"/>
    </row>
    <row r="2503" spans="4:5" x14ac:dyDescent="0.3">
      <c r="D2503" s="123"/>
      <c r="E2503" s="15"/>
    </row>
    <row r="2504" spans="4:5" x14ac:dyDescent="0.3">
      <c r="D2504" s="123"/>
      <c r="E2504" s="15"/>
    </row>
    <row r="2505" spans="4:5" x14ac:dyDescent="0.3">
      <c r="D2505" s="123"/>
      <c r="E2505" s="15"/>
    </row>
    <row r="2506" spans="4:5" x14ac:dyDescent="0.3">
      <c r="D2506" s="123"/>
      <c r="E2506" s="15"/>
    </row>
    <row r="2507" spans="4:5" x14ac:dyDescent="0.3">
      <c r="D2507" s="123"/>
      <c r="E2507" s="15"/>
    </row>
    <row r="2508" spans="4:5" x14ac:dyDescent="0.3">
      <c r="D2508" s="123"/>
      <c r="E2508" s="15"/>
    </row>
    <row r="2509" spans="4:5" x14ac:dyDescent="0.3">
      <c r="D2509" s="123"/>
      <c r="E2509" s="15"/>
    </row>
    <row r="2510" spans="4:5" x14ac:dyDescent="0.3">
      <c r="D2510" s="123"/>
      <c r="E2510" s="15"/>
    </row>
    <row r="2511" spans="4:5" x14ac:dyDescent="0.3">
      <c r="D2511" s="123"/>
      <c r="E2511" s="15"/>
    </row>
    <row r="2512" spans="4:5" x14ac:dyDescent="0.3">
      <c r="D2512" s="123"/>
      <c r="E2512" s="15"/>
    </row>
    <row r="2513" spans="4:5" x14ac:dyDescent="0.3">
      <c r="D2513" s="123"/>
      <c r="E2513" s="15"/>
    </row>
    <row r="2514" spans="4:5" x14ac:dyDescent="0.3">
      <c r="D2514" s="123"/>
      <c r="E2514" s="15"/>
    </row>
    <row r="2515" spans="4:5" x14ac:dyDescent="0.3">
      <c r="D2515" s="123"/>
      <c r="E2515" s="15"/>
    </row>
    <row r="2516" spans="4:5" x14ac:dyDescent="0.3">
      <c r="D2516" s="123"/>
      <c r="E2516" s="15"/>
    </row>
    <row r="2517" spans="4:5" x14ac:dyDescent="0.3">
      <c r="D2517" s="123"/>
      <c r="E2517" s="15"/>
    </row>
    <row r="2518" spans="4:5" x14ac:dyDescent="0.3">
      <c r="D2518" s="123"/>
      <c r="E2518" s="15"/>
    </row>
    <row r="2519" spans="4:5" x14ac:dyDescent="0.3">
      <c r="D2519" s="123"/>
      <c r="E2519" s="15"/>
    </row>
    <row r="2520" spans="4:5" x14ac:dyDescent="0.3">
      <c r="D2520" s="123"/>
      <c r="E2520" s="15"/>
    </row>
    <row r="2521" spans="4:5" x14ac:dyDescent="0.3">
      <c r="D2521" s="123"/>
      <c r="E2521" s="15"/>
    </row>
    <row r="2522" spans="4:5" x14ac:dyDescent="0.3">
      <c r="D2522" s="123"/>
      <c r="E2522" s="15"/>
    </row>
    <row r="2523" spans="4:5" x14ac:dyDescent="0.3">
      <c r="D2523" s="123"/>
      <c r="E2523" s="15"/>
    </row>
    <row r="2524" spans="4:5" x14ac:dyDescent="0.3">
      <c r="D2524" s="123"/>
      <c r="E2524" s="15"/>
    </row>
    <row r="2525" spans="4:5" x14ac:dyDescent="0.3">
      <c r="D2525" s="123"/>
      <c r="E2525" s="15"/>
    </row>
    <row r="2526" spans="4:5" x14ac:dyDescent="0.3">
      <c r="D2526" s="123"/>
      <c r="E2526" s="15"/>
    </row>
    <row r="2527" spans="4:5" x14ac:dyDescent="0.3">
      <c r="D2527" s="123"/>
      <c r="E2527" s="15"/>
    </row>
    <row r="2528" spans="4:5" x14ac:dyDescent="0.3">
      <c r="D2528" s="123"/>
      <c r="E2528" s="15"/>
    </row>
    <row r="2529" spans="4:5" x14ac:dyDescent="0.3">
      <c r="D2529" s="123"/>
      <c r="E2529" s="15"/>
    </row>
    <row r="2530" spans="4:5" x14ac:dyDescent="0.3">
      <c r="D2530" s="123"/>
      <c r="E2530" s="15"/>
    </row>
    <row r="2531" spans="4:5" x14ac:dyDescent="0.3">
      <c r="D2531" s="123"/>
      <c r="E2531" s="15"/>
    </row>
    <row r="2532" spans="4:5" x14ac:dyDescent="0.3">
      <c r="D2532" s="123"/>
      <c r="E2532" s="15"/>
    </row>
    <row r="2533" spans="4:5" x14ac:dyDescent="0.3">
      <c r="D2533" s="123"/>
      <c r="E2533" s="15"/>
    </row>
    <row r="2534" spans="4:5" x14ac:dyDescent="0.3">
      <c r="D2534" s="123"/>
      <c r="E2534" s="15"/>
    </row>
    <row r="2535" spans="4:5" x14ac:dyDescent="0.3">
      <c r="D2535" s="123"/>
      <c r="E2535" s="15"/>
    </row>
    <row r="2536" spans="4:5" x14ac:dyDescent="0.3">
      <c r="D2536" s="123"/>
      <c r="E2536" s="15"/>
    </row>
    <row r="2537" spans="4:5" x14ac:dyDescent="0.3">
      <c r="D2537" s="123"/>
      <c r="E2537" s="15"/>
    </row>
    <row r="2538" spans="4:5" x14ac:dyDescent="0.3">
      <c r="D2538" s="123"/>
      <c r="E2538" s="15"/>
    </row>
    <row r="2539" spans="4:5" x14ac:dyDescent="0.3">
      <c r="D2539" s="123"/>
      <c r="E2539" s="15"/>
    </row>
    <row r="2540" spans="4:5" x14ac:dyDescent="0.3">
      <c r="D2540" s="123"/>
      <c r="E2540" s="15"/>
    </row>
    <row r="2541" spans="4:5" x14ac:dyDescent="0.3">
      <c r="D2541" s="123"/>
      <c r="E2541" s="15"/>
    </row>
    <row r="2542" spans="4:5" x14ac:dyDescent="0.3">
      <c r="D2542" s="123"/>
      <c r="E2542" s="15"/>
    </row>
    <row r="2543" spans="4:5" x14ac:dyDescent="0.3">
      <c r="D2543" s="123"/>
      <c r="E2543" s="15"/>
    </row>
    <row r="2544" spans="4:5" x14ac:dyDescent="0.3">
      <c r="D2544" s="123"/>
      <c r="E2544" s="15"/>
    </row>
    <row r="2545" spans="4:5" x14ac:dyDescent="0.3">
      <c r="D2545" s="123"/>
      <c r="E2545" s="15"/>
    </row>
    <row r="2546" spans="4:5" x14ac:dyDescent="0.3">
      <c r="D2546" s="123"/>
      <c r="E2546" s="15"/>
    </row>
    <row r="2547" spans="4:5" x14ac:dyDescent="0.3">
      <c r="D2547" s="123"/>
      <c r="E2547" s="15"/>
    </row>
    <row r="2548" spans="4:5" x14ac:dyDescent="0.3">
      <c r="D2548" s="123"/>
      <c r="E2548" s="15"/>
    </row>
    <row r="2549" spans="4:5" x14ac:dyDescent="0.3">
      <c r="D2549" s="123"/>
      <c r="E2549" s="15"/>
    </row>
    <row r="2550" spans="4:5" x14ac:dyDescent="0.3">
      <c r="D2550" s="123"/>
      <c r="E2550" s="15"/>
    </row>
    <row r="2551" spans="4:5" x14ac:dyDescent="0.3">
      <c r="D2551" s="123"/>
      <c r="E2551" s="15"/>
    </row>
    <row r="2552" spans="4:5" x14ac:dyDescent="0.3">
      <c r="D2552" s="123"/>
      <c r="E2552" s="15"/>
    </row>
    <row r="2553" spans="4:5" x14ac:dyDescent="0.3">
      <c r="D2553" s="123"/>
      <c r="E2553" s="15"/>
    </row>
    <row r="2554" spans="4:5" x14ac:dyDescent="0.3">
      <c r="D2554" s="123"/>
      <c r="E2554" s="15"/>
    </row>
    <row r="2555" spans="4:5" x14ac:dyDescent="0.3">
      <c r="D2555" s="123"/>
      <c r="E2555" s="15"/>
    </row>
    <row r="2556" spans="4:5" x14ac:dyDescent="0.3">
      <c r="D2556" s="123"/>
      <c r="E2556" s="15"/>
    </row>
    <row r="2557" spans="4:5" x14ac:dyDescent="0.3">
      <c r="D2557" s="123"/>
      <c r="E2557" s="15"/>
    </row>
    <row r="2558" spans="4:5" x14ac:dyDescent="0.3">
      <c r="D2558" s="123"/>
      <c r="E2558" s="15"/>
    </row>
    <row r="2559" spans="4:5" x14ac:dyDescent="0.3">
      <c r="D2559" s="123"/>
      <c r="E2559" s="15"/>
    </row>
    <row r="2560" spans="4:5" x14ac:dyDescent="0.3">
      <c r="D2560" s="123"/>
      <c r="E2560" s="15"/>
    </row>
    <row r="2561" spans="4:5" x14ac:dyDescent="0.3">
      <c r="D2561" s="123"/>
      <c r="E2561" s="15"/>
    </row>
    <row r="2562" spans="4:5" x14ac:dyDescent="0.3">
      <c r="D2562" s="123"/>
      <c r="E2562" s="15"/>
    </row>
    <row r="2563" spans="4:5" x14ac:dyDescent="0.3">
      <c r="D2563" s="123"/>
      <c r="E2563" s="15"/>
    </row>
    <row r="2564" spans="4:5" x14ac:dyDescent="0.3">
      <c r="D2564" s="123"/>
      <c r="E2564" s="15"/>
    </row>
    <row r="2565" spans="4:5" x14ac:dyDescent="0.3">
      <c r="D2565" s="123"/>
      <c r="E2565" s="15"/>
    </row>
    <row r="2566" spans="4:5" x14ac:dyDescent="0.3">
      <c r="D2566" s="123"/>
      <c r="E2566" s="15"/>
    </row>
    <row r="2567" spans="4:5" x14ac:dyDescent="0.3">
      <c r="D2567" s="123"/>
      <c r="E2567" s="15"/>
    </row>
    <row r="2568" spans="4:5" x14ac:dyDescent="0.3">
      <c r="D2568" s="123"/>
      <c r="E2568" s="15"/>
    </row>
    <row r="2569" spans="4:5" x14ac:dyDescent="0.3">
      <c r="D2569" s="123"/>
      <c r="E2569" s="15"/>
    </row>
    <row r="2570" spans="4:5" x14ac:dyDescent="0.3">
      <c r="D2570" s="123"/>
      <c r="E2570" s="15"/>
    </row>
    <row r="2571" spans="4:5" x14ac:dyDescent="0.3">
      <c r="D2571" s="123"/>
      <c r="E2571" s="15"/>
    </row>
    <row r="2572" spans="4:5" x14ac:dyDescent="0.3">
      <c r="D2572" s="123"/>
      <c r="E2572" s="15"/>
    </row>
    <row r="2573" spans="4:5" x14ac:dyDescent="0.3">
      <c r="D2573" s="123"/>
      <c r="E2573" s="15"/>
    </row>
    <row r="2574" spans="4:5" x14ac:dyDescent="0.3">
      <c r="D2574" s="123"/>
      <c r="E2574" s="15"/>
    </row>
    <row r="2575" spans="4:5" x14ac:dyDescent="0.3">
      <c r="D2575" s="123"/>
      <c r="E2575" s="15"/>
    </row>
    <row r="2576" spans="4:5" x14ac:dyDescent="0.3">
      <c r="D2576" s="123"/>
      <c r="E2576" s="15"/>
    </row>
    <row r="2577" spans="4:5" x14ac:dyDescent="0.3">
      <c r="D2577" s="123"/>
      <c r="E2577" s="15"/>
    </row>
    <row r="2578" spans="4:5" x14ac:dyDescent="0.3">
      <c r="D2578" s="123"/>
      <c r="E2578" s="15"/>
    </row>
    <row r="2579" spans="4:5" x14ac:dyDescent="0.3">
      <c r="D2579" s="123"/>
      <c r="E2579" s="15"/>
    </row>
    <row r="2580" spans="4:5" x14ac:dyDescent="0.3">
      <c r="D2580" s="123"/>
      <c r="E2580" s="15"/>
    </row>
    <row r="2581" spans="4:5" x14ac:dyDescent="0.3">
      <c r="D2581" s="123"/>
      <c r="E2581" s="15"/>
    </row>
    <row r="2582" spans="4:5" x14ac:dyDescent="0.3">
      <c r="D2582" s="123"/>
      <c r="E2582" s="15"/>
    </row>
    <row r="2583" spans="4:5" x14ac:dyDescent="0.3">
      <c r="D2583" s="123"/>
      <c r="E2583" s="15"/>
    </row>
    <row r="2584" spans="4:5" x14ac:dyDescent="0.3">
      <c r="D2584" s="123"/>
      <c r="E2584" s="15"/>
    </row>
    <row r="2585" spans="4:5" x14ac:dyDescent="0.3">
      <c r="D2585" s="123"/>
      <c r="E2585" s="15"/>
    </row>
    <row r="2586" spans="4:5" x14ac:dyDescent="0.3">
      <c r="D2586" s="123"/>
      <c r="E2586" s="15"/>
    </row>
    <row r="2587" spans="4:5" x14ac:dyDescent="0.3">
      <c r="D2587" s="123"/>
      <c r="E2587" s="15"/>
    </row>
    <row r="2588" spans="4:5" x14ac:dyDescent="0.3">
      <c r="D2588" s="123"/>
      <c r="E2588" s="15"/>
    </row>
    <row r="2589" spans="4:5" x14ac:dyDescent="0.3">
      <c r="D2589" s="123"/>
      <c r="E2589" s="15"/>
    </row>
    <row r="2590" spans="4:5" x14ac:dyDescent="0.3">
      <c r="D2590" s="123"/>
      <c r="E2590" s="15"/>
    </row>
    <row r="2591" spans="4:5" x14ac:dyDescent="0.3">
      <c r="D2591" s="123"/>
      <c r="E2591" s="15"/>
    </row>
    <row r="2592" spans="4:5" x14ac:dyDescent="0.3">
      <c r="D2592" s="123"/>
      <c r="E2592" s="15"/>
    </row>
    <row r="2593" spans="4:5" x14ac:dyDescent="0.3">
      <c r="D2593" s="123"/>
      <c r="E2593" s="15"/>
    </row>
    <row r="2594" spans="4:5" x14ac:dyDescent="0.3">
      <c r="D2594" s="123"/>
      <c r="E2594" s="15"/>
    </row>
    <row r="2595" spans="4:5" x14ac:dyDescent="0.3">
      <c r="D2595" s="123"/>
      <c r="E2595" s="15"/>
    </row>
    <row r="2596" spans="4:5" x14ac:dyDescent="0.3">
      <c r="D2596" s="123"/>
      <c r="E2596" s="15"/>
    </row>
    <row r="2597" spans="4:5" x14ac:dyDescent="0.3">
      <c r="D2597" s="123"/>
      <c r="E2597" s="15"/>
    </row>
    <row r="2598" spans="4:5" x14ac:dyDescent="0.3">
      <c r="D2598" s="123"/>
      <c r="E2598" s="15"/>
    </row>
    <row r="2599" spans="4:5" x14ac:dyDescent="0.3">
      <c r="D2599" s="123"/>
      <c r="E2599" s="15"/>
    </row>
    <row r="2600" spans="4:5" x14ac:dyDescent="0.3">
      <c r="D2600" s="123"/>
      <c r="E2600" s="15"/>
    </row>
    <row r="2601" spans="4:5" x14ac:dyDescent="0.3">
      <c r="D2601" s="123"/>
      <c r="E2601" s="15"/>
    </row>
    <row r="2602" spans="4:5" x14ac:dyDescent="0.3">
      <c r="D2602" s="123"/>
      <c r="E2602" s="15"/>
    </row>
    <row r="2603" spans="4:5" x14ac:dyDescent="0.3">
      <c r="D2603" s="123"/>
      <c r="E2603" s="15"/>
    </row>
    <row r="2604" spans="4:5" x14ac:dyDescent="0.3">
      <c r="D2604" s="123"/>
      <c r="E2604" s="15"/>
    </row>
    <row r="2605" spans="4:5" x14ac:dyDescent="0.3">
      <c r="D2605" s="123"/>
      <c r="E2605" s="15"/>
    </row>
    <row r="2606" spans="4:5" x14ac:dyDescent="0.3">
      <c r="D2606" s="123"/>
      <c r="E2606" s="15"/>
    </row>
    <row r="2607" spans="4:5" x14ac:dyDescent="0.3">
      <c r="D2607" s="123"/>
      <c r="E2607" s="15"/>
    </row>
    <row r="2608" spans="4:5" x14ac:dyDescent="0.3">
      <c r="D2608" s="123"/>
      <c r="E2608" s="15"/>
    </row>
    <row r="2609" spans="4:5" x14ac:dyDescent="0.3">
      <c r="D2609" s="123"/>
      <c r="E2609" s="15"/>
    </row>
    <row r="2610" spans="4:5" x14ac:dyDescent="0.3">
      <c r="D2610" s="123"/>
      <c r="E2610" s="15"/>
    </row>
    <row r="2611" spans="4:5" x14ac:dyDescent="0.3">
      <c r="D2611" s="123"/>
      <c r="E2611" s="15"/>
    </row>
    <row r="2612" spans="4:5" x14ac:dyDescent="0.3">
      <c r="D2612" s="123"/>
      <c r="E2612" s="15"/>
    </row>
    <row r="2613" spans="4:5" x14ac:dyDescent="0.3">
      <c r="D2613" s="123"/>
      <c r="E2613" s="15"/>
    </row>
    <row r="2614" spans="4:5" x14ac:dyDescent="0.3">
      <c r="D2614" s="123"/>
      <c r="E2614" s="15"/>
    </row>
    <row r="2615" spans="4:5" x14ac:dyDescent="0.3">
      <c r="D2615" s="123"/>
      <c r="E2615" s="15"/>
    </row>
    <row r="2616" spans="4:5" x14ac:dyDescent="0.3">
      <c r="D2616" s="123"/>
      <c r="E2616" s="15"/>
    </row>
    <row r="2617" spans="4:5" x14ac:dyDescent="0.3">
      <c r="D2617" s="123"/>
      <c r="E2617" s="15"/>
    </row>
    <row r="2618" spans="4:5" x14ac:dyDescent="0.3">
      <c r="D2618" s="123"/>
      <c r="E2618" s="15"/>
    </row>
    <row r="2619" spans="4:5" x14ac:dyDescent="0.3">
      <c r="D2619" s="123"/>
      <c r="E2619" s="15"/>
    </row>
    <row r="2620" spans="4:5" x14ac:dyDescent="0.3">
      <c r="D2620" s="123"/>
      <c r="E2620" s="15"/>
    </row>
    <row r="2621" spans="4:5" x14ac:dyDescent="0.3">
      <c r="D2621" s="123"/>
      <c r="E2621" s="15"/>
    </row>
    <row r="2622" spans="4:5" x14ac:dyDescent="0.3">
      <c r="D2622" s="123"/>
      <c r="E2622" s="15"/>
    </row>
    <row r="2623" spans="4:5" x14ac:dyDescent="0.3">
      <c r="D2623" s="123"/>
      <c r="E2623" s="15"/>
    </row>
    <row r="2624" spans="4:5" x14ac:dyDescent="0.3">
      <c r="D2624" s="123"/>
      <c r="E2624" s="15"/>
    </row>
    <row r="2625" spans="4:5" x14ac:dyDescent="0.3">
      <c r="D2625" s="123"/>
      <c r="E2625" s="15"/>
    </row>
    <row r="2626" spans="4:5" x14ac:dyDescent="0.3">
      <c r="D2626" s="123"/>
      <c r="E2626" s="15"/>
    </row>
    <row r="2627" spans="4:5" x14ac:dyDescent="0.3">
      <c r="D2627" s="123"/>
      <c r="E2627" s="15"/>
    </row>
    <row r="2628" spans="4:5" x14ac:dyDescent="0.3">
      <c r="D2628" s="123"/>
      <c r="E2628" s="15"/>
    </row>
    <row r="2629" spans="4:5" x14ac:dyDescent="0.3">
      <c r="D2629" s="123"/>
      <c r="E2629" s="15"/>
    </row>
    <row r="2630" spans="4:5" x14ac:dyDescent="0.3">
      <c r="D2630" s="123"/>
      <c r="E2630" s="15"/>
    </row>
    <row r="2631" spans="4:5" x14ac:dyDescent="0.3">
      <c r="D2631" s="123"/>
      <c r="E2631" s="15"/>
    </row>
    <row r="2632" spans="4:5" x14ac:dyDescent="0.3">
      <c r="D2632" s="123"/>
      <c r="E2632" s="15"/>
    </row>
    <row r="2633" spans="4:5" x14ac:dyDescent="0.3">
      <c r="D2633" s="123"/>
      <c r="E2633" s="15"/>
    </row>
    <row r="2634" spans="4:5" x14ac:dyDescent="0.3">
      <c r="D2634" s="123"/>
      <c r="E2634" s="15"/>
    </row>
    <row r="2635" spans="4:5" x14ac:dyDescent="0.3">
      <c r="D2635" s="123"/>
      <c r="E2635" s="15"/>
    </row>
    <row r="2636" spans="4:5" x14ac:dyDescent="0.3">
      <c r="D2636" s="123"/>
      <c r="E2636" s="15"/>
    </row>
    <row r="2637" spans="4:5" x14ac:dyDescent="0.3">
      <c r="D2637" s="123"/>
      <c r="E2637" s="15"/>
    </row>
    <row r="2638" spans="4:5" x14ac:dyDescent="0.3">
      <c r="D2638" s="123"/>
      <c r="E2638" s="15"/>
    </row>
    <row r="2639" spans="4:5" x14ac:dyDescent="0.3">
      <c r="D2639" s="123"/>
      <c r="E2639" s="15"/>
    </row>
    <row r="2640" spans="4:5" x14ac:dyDescent="0.3">
      <c r="D2640" s="123"/>
      <c r="E2640" s="15"/>
    </row>
    <row r="2641" spans="4:5" x14ac:dyDescent="0.3">
      <c r="D2641" s="123"/>
      <c r="E2641" s="15"/>
    </row>
    <row r="2642" spans="4:5" x14ac:dyDescent="0.3">
      <c r="D2642" s="123"/>
      <c r="E2642" s="15"/>
    </row>
    <row r="2643" spans="4:5" x14ac:dyDescent="0.3">
      <c r="D2643" s="123"/>
      <c r="E2643" s="15"/>
    </row>
    <row r="2644" spans="4:5" x14ac:dyDescent="0.3">
      <c r="D2644" s="123"/>
      <c r="E2644" s="15"/>
    </row>
    <row r="2645" spans="4:5" x14ac:dyDescent="0.3">
      <c r="D2645" s="123"/>
      <c r="E2645" s="15"/>
    </row>
    <row r="2646" spans="4:5" x14ac:dyDescent="0.3">
      <c r="D2646" s="123"/>
      <c r="E2646" s="15"/>
    </row>
    <row r="2647" spans="4:5" x14ac:dyDescent="0.3">
      <c r="D2647" s="123"/>
      <c r="E2647" s="15"/>
    </row>
    <row r="2648" spans="4:5" x14ac:dyDescent="0.3">
      <c r="D2648" s="123"/>
      <c r="E2648" s="15"/>
    </row>
    <row r="2649" spans="4:5" x14ac:dyDescent="0.3">
      <c r="D2649" s="123"/>
      <c r="E2649" s="15"/>
    </row>
    <row r="2650" spans="4:5" x14ac:dyDescent="0.3">
      <c r="D2650" s="123"/>
      <c r="E2650" s="15"/>
    </row>
    <row r="2651" spans="4:5" x14ac:dyDescent="0.3">
      <c r="D2651" s="123"/>
      <c r="E2651" s="15"/>
    </row>
    <row r="2652" spans="4:5" x14ac:dyDescent="0.3">
      <c r="D2652" s="123"/>
      <c r="E2652" s="15"/>
    </row>
    <row r="2653" spans="4:5" x14ac:dyDescent="0.3">
      <c r="D2653" s="123"/>
      <c r="E2653" s="15"/>
    </row>
    <row r="2654" spans="4:5" x14ac:dyDescent="0.3">
      <c r="D2654" s="123"/>
      <c r="E2654" s="15"/>
    </row>
    <row r="2655" spans="4:5" x14ac:dyDescent="0.3">
      <c r="D2655" s="123"/>
      <c r="E2655" s="15"/>
    </row>
    <row r="2656" spans="4:5" x14ac:dyDescent="0.3">
      <c r="D2656" s="123"/>
      <c r="E2656" s="15"/>
    </row>
    <row r="2657" spans="4:5" x14ac:dyDescent="0.3">
      <c r="D2657" s="123"/>
      <c r="E2657" s="15"/>
    </row>
    <row r="2658" spans="4:5" x14ac:dyDescent="0.3">
      <c r="D2658" s="123"/>
      <c r="E2658" s="15"/>
    </row>
    <row r="2659" spans="4:5" x14ac:dyDescent="0.3">
      <c r="D2659" s="123"/>
      <c r="E2659" s="15"/>
    </row>
    <row r="2660" spans="4:5" x14ac:dyDescent="0.3">
      <c r="D2660" s="123"/>
      <c r="E2660" s="15"/>
    </row>
    <row r="2661" spans="4:5" x14ac:dyDescent="0.3">
      <c r="D2661" s="123"/>
      <c r="E2661" s="15"/>
    </row>
    <row r="2662" spans="4:5" x14ac:dyDescent="0.3">
      <c r="D2662" s="123"/>
      <c r="E2662" s="15"/>
    </row>
    <row r="2663" spans="4:5" x14ac:dyDescent="0.3">
      <c r="D2663" s="123"/>
      <c r="E2663" s="15"/>
    </row>
    <row r="2664" spans="4:5" x14ac:dyDescent="0.3">
      <c r="D2664" s="123"/>
      <c r="E2664" s="15"/>
    </row>
    <row r="2665" spans="4:5" x14ac:dyDescent="0.3">
      <c r="D2665" s="123"/>
      <c r="E2665" s="15"/>
    </row>
    <row r="2666" spans="4:5" x14ac:dyDescent="0.3">
      <c r="D2666" s="123"/>
      <c r="E2666" s="15"/>
    </row>
    <row r="2667" spans="4:5" x14ac:dyDescent="0.3">
      <c r="D2667" s="123"/>
      <c r="E2667" s="15"/>
    </row>
    <row r="2668" spans="4:5" x14ac:dyDescent="0.3">
      <c r="D2668" s="123"/>
      <c r="E2668" s="15"/>
    </row>
    <row r="2669" spans="4:5" x14ac:dyDescent="0.3">
      <c r="D2669" s="123"/>
      <c r="E2669" s="15"/>
    </row>
    <row r="2670" spans="4:5" x14ac:dyDescent="0.3">
      <c r="D2670" s="123"/>
      <c r="E2670" s="15"/>
    </row>
    <row r="2671" spans="4:5" x14ac:dyDescent="0.3">
      <c r="D2671" s="123"/>
      <c r="E2671" s="15"/>
    </row>
    <row r="2672" spans="4:5" x14ac:dyDescent="0.3">
      <c r="D2672" s="123"/>
      <c r="E2672" s="15"/>
    </row>
    <row r="2673" spans="4:5" x14ac:dyDescent="0.3">
      <c r="D2673" s="123"/>
      <c r="E2673" s="15"/>
    </row>
    <row r="2674" spans="4:5" x14ac:dyDescent="0.3">
      <c r="D2674" s="123"/>
      <c r="E2674" s="15"/>
    </row>
    <row r="2675" spans="4:5" x14ac:dyDescent="0.3">
      <c r="D2675" s="123"/>
      <c r="E2675" s="15"/>
    </row>
    <row r="2676" spans="4:5" x14ac:dyDescent="0.3">
      <c r="D2676" s="123"/>
      <c r="E2676" s="15"/>
    </row>
    <row r="2677" spans="4:5" x14ac:dyDescent="0.3">
      <c r="D2677" s="123"/>
      <c r="E2677" s="15"/>
    </row>
    <row r="2678" spans="4:5" x14ac:dyDescent="0.3">
      <c r="D2678" s="123"/>
      <c r="E2678" s="15"/>
    </row>
    <row r="2679" spans="4:5" x14ac:dyDescent="0.3">
      <c r="D2679" s="123"/>
      <c r="E2679" s="15"/>
    </row>
    <row r="2680" spans="4:5" x14ac:dyDescent="0.3">
      <c r="D2680" s="123"/>
      <c r="E2680" s="15"/>
    </row>
    <row r="2681" spans="4:5" x14ac:dyDescent="0.3">
      <c r="D2681" s="123"/>
      <c r="E2681" s="15"/>
    </row>
    <row r="2682" spans="4:5" x14ac:dyDescent="0.3">
      <c r="D2682" s="123"/>
      <c r="E2682" s="15"/>
    </row>
    <row r="2683" spans="4:5" x14ac:dyDescent="0.3">
      <c r="D2683" s="123"/>
      <c r="E2683" s="15"/>
    </row>
    <row r="2684" spans="4:5" x14ac:dyDescent="0.3">
      <c r="D2684" s="123"/>
      <c r="E2684" s="15"/>
    </row>
    <row r="2685" spans="4:5" x14ac:dyDescent="0.3">
      <c r="D2685" s="123"/>
      <c r="E2685" s="15"/>
    </row>
    <row r="2686" spans="4:5" x14ac:dyDescent="0.3">
      <c r="D2686" s="123"/>
      <c r="E2686" s="15"/>
    </row>
    <row r="2687" spans="4:5" x14ac:dyDescent="0.3">
      <c r="D2687" s="123"/>
      <c r="E2687" s="15"/>
    </row>
    <row r="2688" spans="4:5" x14ac:dyDescent="0.3">
      <c r="D2688" s="123"/>
      <c r="E2688" s="15"/>
    </row>
    <row r="2689" spans="4:5" x14ac:dyDescent="0.3">
      <c r="D2689" s="123"/>
      <c r="E2689" s="15"/>
    </row>
    <row r="2690" spans="4:5" x14ac:dyDescent="0.3">
      <c r="D2690" s="123"/>
      <c r="E2690" s="15"/>
    </row>
    <row r="2691" spans="4:5" x14ac:dyDescent="0.3">
      <c r="D2691" s="123"/>
      <c r="E2691" s="15"/>
    </row>
    <row r="2692" spans="4:5" x14ac:dyDescent="0.3">
      <c r="D2692" s="123"/>
      <c r="E2692" s="15"/>
    </row>
    <row r="2693" spans="4:5" x14ac:dyDescent="0.3">
      <c r="D2693" s="123"/>
      <c r="E2693" s="15"/>
    </row>
    <row r="2694" spans="4:5" x14ac:dyDescent="0.3">
      <c r="D2694" s="123"/>
      <c r="E2694" s="15"/>
    </row>
    <row r="2695" spans="4:5" x14ac:dyDescent="0.3">
      <c r="D2695" s="123"/>
      <c r="E2695" s="15"/>
    </row>
    <row r="2696" spans="4:5" x14ac:dyDescent="0.3">
      <c r="D2696" s="123"/>
      <c r="E2696" s="15"/>
    </row>
    <row r="2697" spans="4:5" x14ac:dyDescent="0.3">
      <c r="D2697" s="123"/>
      <c r="E2697" s="15"/>
    </row>
    <row r="2698" spans="4:5" x14ac:dyDescent="0.3">
      <c r="D2698" s="123"/>
      <c r="E2698" s="15"/>
    </row>
    <row r="2699" spans="4:5" x14ac:dyDescent="0.3">
      <c r="D2699" s="123"/>
      <c r="E2699" s="15"/>
    </row>
    <row r="2700" spans="4:5" x14ac:dyDescent="0.3">
      <c r="D2700" s="123"/>
      <c r="E2700" s="15"/>
    </row>
    <row r="2701" spans="4:5" x14ac:dyDescent="0.3">
      <c r="D2701" s="123"/>
      <c r="E2701" s="15"/>
    </row>
    <row r="2702" spans="4:5" x14ac:dyDescent="0.3">
      <c r="D2702" s="123"/>
      <c r="E2702" s="15"/>
    </row>
    <row r="2703" spans="4:5" x14ac:dyDescent="0.3">
      <c r="D2703" s="123"/>
      <c r="E2703" s="15"/>
    </row>
    <row r="2704" spans="4:5" x14ac:dyDescent="0.3">
      <c r="D2704" s="123"/>
      <c r="E2704" s="15"/>
    </row>
    <row r="2705" spans="4:5" x14ac:dyDescent="0.3">
      <c r="D2705" s="123"/>
      <c r="E2705" s="15"/>
    </row>
    <row r="2706" spans="4:5" x14ac:dyDescent="0.3">
      <c r="D2706" s="123"/>
      <c r="E2706" s="15"/>
    </row>
    <row r="2707" spans="4:5" x14ac:dyDescent="0.3">
      <c r="D2707" s="123"/>
      <c r="E2707" s="15"/>
    </row>
    <row r="2708" spans="4:5" x14ac:dyDescent="0.3">
      <c r="D2708" s="123"/>
      <c r="E2708" s="15"/>
    </row>
    <row r="2709" spans="4:5" x14ac:dyDescent="0.3">
      <c r="D2709" s="123"/>
      <c r="E2709" s="15"/>
    </row>
    <row r="2710" spans="4:5" x14ac:dyDescent="0.3">
      <c r="D2710" s="123"/>
      <c r="E2710" s="15"/>
    </row>
    <row r="2711" spans="4:5" x14ac:dyDescent="0.3">
      <c r="D2711" s="123"/>
      <c r="E2711" s="15"/>
    </row>
    <row r="2712" spans="4:5" x14ac:dyDescent="0.3">
      <c r="D2712" s="123"/>
      <c r="E2712" s="15"/>
    </row>
    <row r="2713" spans="4:5" x14ac:dyDescent="0.3">
      <c r="D2713" s="123"/>
      <c r="E2713" s="15"/>
    </row>
    <row r="2714" spans="4:5" x14ac:dyDescent="0.3">
      <c r="D2714" s="123"/>
      <c r="E2714" s="15"/>
    </row>
    <row r="2715" spans="4:5" x14ac:dyDescent="0.3">
      <c r="D2715" s="123"/>
      <c r="E2715" s="15"/>
    </row>
    <row r="2716" spans="4:5" x14ac:dyDescent="0.3">
      <c r="D2716" s="123"/>
      <c r="E2716" s="15"/>
    </row>
    <row r="2717" spans="4:5" x14ac:dyDescent="0.3">
      <c r="D2717" s="123"/>
      <c r="E2717" s="15"/>
    </row>
    <row r="2718" spans="4:5" x14ac:dyDescent="0.3">
      <c r="D2718" s="123"/>
      <c r="E2718" s="15"/>
    </row>
    <row r="2719" spans="4:5" x14ac:dyDescent="0.3">
      <c r="D2719" s="123"/>
      <c r="E2719" s="15"/>
    </row>
    <row r="2720" spans="4:5" x14ac:dyDescent="0.3">
      <c r="D2720" s="123"/>
      <c r="E2720" s="15"/>
    </row>
    <row r="2721" spans="4:5" x14ac:dyDescent="0.3">
      <c r="D2721" s="123"/>
      <c r="E2721" s="15"/>
    </row>
    <row r="2722" spans="4:5" x14ac:dyDescent="0.3">
      <c r="D2722" s="123"/>
      <c r="E2722" s="15"/>
    </row>
    <row r="2723" spans="4:5" x14ac:dyDescent="0.3">
      <c r="D2723" s="123"/>
      <c r="E2723" s="15"/>
    </row>
    <row r="2724" spans="4:5" x14ac:dyDescent="0.3">
      <c r="D2724" s="123"/>
      <c r="E2724" s="15"/>
    </row>
    <row r="2725" spans="4:5" x14ac:dyDescent="0.3">
      <c r="D2725" s="123"/>
      <c r="E2725" s="15"/>
    </row>
    <row r="2726" spans="4:5" x14ac:dyDescent="0.3">
      <c r="D2726" s="123"/>
      <c r="E2726" s="15"/>
    </row>
    <row r="2727" spans="4:5" x14ac:dyDescent="0.3">
      <c r="D2727" s="123"/>
      <c r="E2727" s="15"/>
    </row>
    <row r="2728" spans="4:5" x14ac:dyDescent="0.3">
      <c r="D2728" s="123"/>
      <c r="E2728" s="15"/>
    </row>
    <row r="2729" spans="4:5" x14ac:dyDescent="0.3">
      <c r="D2729" s="123"/>
      <c r="E2729" s="15"/>
    </row>
    <row r="2730" spans="4:5" x14ac:dyDescent="0.3">
      <c r="D2730" s="123"/>
      <c r="E2730" s="15"/>
    </row>
    <row r="2731" spans="4:5" x14ac:dyDescent="0.3">
      <c r="D2731" s="123"/>
      <c r="E2731" s="15"/>
    </row>
    <row r="2732" spans="4:5" x14ac:dyDescent="0.3">
      <c r="D2732" s="123"/>
      <c r="E2732" s="15"/>
    </row>
    <row r="2733" spans="4:5" x14ac:dyDescent="0.3">
      <c r="D2733" s="123"/>
      <c r="E2733" s="15"/>
    </row>
    <row r="2734" spans="4:5" x14ac:dyDescent="0.3">
      <c r="D2734" s="123"/>
      <c r="E2734" s="15"/>
    </row>
    <row r="2735" spans="4:5" x14ac:dyDescent="0.3">
      <c r="D2735" s="123"/>
      <c r="E2735" s="15"/>
    </row>
    <row r="2736" spans="4:5" x14ac:dyDescent="0.3">
      <c r="D2736" s="123"/>
      <c r="E2736" s="15"/>
    </row>
    <row r="2737" spans="4:5" x14ac:dyDescent="0.3">
      <c r="D2737" s="123"/>
      <c r="E2737" s="15"/>
    </row>
    <row r="2738" spans="4:5" x14ac:dyDescent="0.3">
      <c r="D2738" s="123"/>
      <c r="E2738" s="15"/>
    </row>
    <row r="2739" spans="4:5" x14ac:dyDescent="0.3">
      <c r="D2739" s="123"/>
      <c r="E2739" s="15"/>
    </row>
    <row r="2740" spans="4:5" x14ac:dyDescent="0.3">
      <c r="D2740" s="123"/>
      <c r="E2740" s="15"/>
    </row>
    <row r="2741" spans="4:5" x14ac:dyDescent="0.3">
      <c r="D2741" s="123"/>
      <c r="E2741" s="15"/>
    </row>
    <row r="2742" spans="4:5" x14ac:dyDescent="0.3">
      <c r="D2742" s="123"/>
      <c r="E2742" s="15"/>
    </row>
    <row r="2743" spans="4:5" x14ac:dyDescent="0.3">
      <c r="D2743" s="123"/>
      <c r="E2743" s="15"/>
    </row>
    <row r="2744" spans="4:5" x14ac:dyDescent="0.3">
      <c r="D2744" s="123"/>
      <c r="E2744" s="15"/>
    </row>
    <row r="2745" spans="4:5" x14ac:dyDescent="0.3">
      <c r="D2745" s="123"/>
      <c r="E2745" s="15"/>
    </row>
    <row r="2746" spans="4:5" x14ac:dyDescent="0.3">
      <c r="D2746" s="123"/>
      <c r="E2746" s="15"/>
    </row>
    <row r="2747" spans="4:5" x14ac:dyDescent="0.3">
      <c r="D2747" s="123"/>
      <c r="E2747" s="15"/>
    </row>
    <row r="2748" spans="4:5" x14ac:dyDescent="0.3">
      <c r="D2748" s="123"/>
      <c r="E2748" s="15"/>
    </row>
    <row r="2749" spans="4:5" x14ac:dyDescent="0.3">
      <c r="D2749" s="123"/>
      <c r="E2749" s="15"/>
    </row>
    <row r="2750" spans="4:5" x14ac:dyDescent="0.3">
      <c r="D2750" s="123"/>
      <c r="E2750" s="15"/>
    </row>
    <row r="2751" spans="4:5" x14ac:dyDescent="0.3">
      <c r="D2751" s="123"/>
      <c r="E2751" s="15"/>
    </row>
    <row r="2752" spans="4:5" x14ac:dyDescent="0.3">
      <c r="D2752" s="123"/>
      <c r="E2752" s="15"/>
    </row>
    <row r="2753" spans="4:5" x14ac:dyDescent="0.3">
      <c r="D2753" s="123"/>
      <c r="E2753" s="15"/>
    </row>
    <row r="2754" spans="4:5" x14ac:dyDescent="0.3">
      <c r="D2754" s="123"/>
      <c r="E2754" s="15"/>
    </row>
    <row r="2755" spans="4:5" x14ac:dyDescent="0.3">
      <c r="D2755" s="123"/>
      <c r="E2755" s="15"/>
    </row>
    <row r="2756" spans="4:5" x14ac:dyDescent="0.3">
      <c r="D2756" s="123"/>
      <c r="E2756" s="15"/>
    </row>
    <row r="2757" spans="4:5" x14ac:dyDescent="0.3">
      <c r="D2757" s="123"/>
      <c r="E2757" s="15"/>
    </row>
    <row r="2758" spans="4:5" x14ac:dyDescent="0.3">
      <c r="D2758" s="123"/>
      <c r="E2758" s="15"/>
    </row>
    <row r="2759" spans="4:5" x14ac:dyDescent="0.3">
      <c r="D2759" s="123"/>
      <c r="E2759" s="15"/>
    </row>
    <row r="2760" spans="4:5" x14ac:dyDescent="0.3">
      <c r="D2760" s="123"/>
      <c r="E2760" s="15"/>
    </row>
    <row r="2761" spans="4:5" x14ac:dyDescent="0.3">
      <c r="D2761" s="123"/>
      <c r="E2761" s="15"/>
    </row>
    <row r="2762" spans="4:5" x14ac:dyDescent="0.3">
      <c r="D2762" s="123"/>
      <c r="E2762" s="15"/>
    </row>
    <row r="2763" spans="4:5" x14ac:dyDescent="0.3">
      <c r="D2763" s="123"/>
      <c r="E2763" s="15"/>
    </row>
    <row r="2764" spans="4:5" x14ac:dyDescent="0.3">
      <c r="D2764" s="123"/>
      <c r="E2764" s="15"/>
    </row>
    <row r="2765" spans="4:5" x14ac:dyDescent="0.3">
      <c r="D2765" s="123"/>
      <c r="E2765" s="15"/>
    </row>
    <row r="2766" spans="4:5" x14ac:dyDescent="0.3">
      <c r="D2766" s="123"/>
      <c r="E2766" s="15"/>
    </row>
    <row r="2767" spans="4:5" x14ac:dyDescent="0.3">
      <c r="D2767" s="123"/>
      <c r="E2767" s="15"/>
    </row>
    <row r="2768" spans="4:5" x14ac:dyDescent="0.3">
      <c r="D2768" s="123"/>
      <c r="E2768" s="15"/>
    </row>
    <row r="2769" spans="4:5" x14ac:dyDescent="0.3">
      <c r="D2769" s="123"/>
      <c r="E2769" s="15"/>
    </row>
    <row r="2770" spans="4:5" x14ac:dyDescent="0.3">
      <c r="D2770" s="123"/>
      <c r="E2770" s="15"/>
    </row>
    <row r="2771" spans="4:5" x14ac:dyDescent="0.3">
      <c r="D2771" s="123"/>
      <c r="E2771" s="15"/>
    </row>
    <row r="2772" spans="4:5" x14ac:dyDescent="0.3">
      <c r="D2772" s="123"/>
      <c r="E2772" s="15"/>
    </row>
    <row r="2773" spans="4:5" x14ac:dyDescent="0.3">
      <c r="D2773" s="123"/>
      <c r="E2773" s="15"/>
    </row>
    <row r="2774" spans="4:5" x14ac:dyDescent="0.3">
      <c r="D2774" s="123"/>
      <c r="E2774" s="15"/>
    </row>
    <row r="2775" spans="4:5" x14ac:dyDescent="0.3">
      <c r="D2775" s="123"/>
      <c r="E2775" s="15"/>
    </row>
    <row r="2776" spans="4:5" x14ac:dyDescent="0.3">
      <c r="D2776" s="123"/>
      <c r="E2776" s="15"/>
    </row>
    <row r="2777" spans="4:5" x14ac:dyDescent="0.3">
      <c r="D2777" s="123"/>
      <c r="E2777" s="15"/>
    </row>
    <row r="2778" spans="4:5" x14ac:dyDescent="0.3">
      <c r="D2778" s="123"/>
      <c r="E2778" s="15"/>
    </row>
    <row r="2779" spans="4:5" x14ac:dyDescent="0.3">
      <c r="D2779" s="123"/>
      <c r="E2779" s="15"/>
    </row>
    <row r="2780" spans="4:5" x14ac:dyDescent="0.3">
      <c r="D2780" s="123"/>
      <c r="E2780" s="15"/>
    </row>
    <row r="2781" spans="4:5" x14ac:dyDescent="0.3">
      <c r="D2781" s="123"/>
      <c r="E2781" s="15"/>
    </row>
    <row r="2782" spans="4:5" x14ac:dyDescent="0.3">
      <c r="D2782" s="123"/>
      <c r="E2782" s="15"/>
    </row>
    <row r="2783" spans="4:5" x14ac:dyDescent="0.3">
      <c r="D2783" s="123"/>
      <c r="E2783" s="15"/>
    </row>
    <row r="2784" spans="4:5" x14ac:dyDescent="0.3">
      <c r="D2784" s="123"/>
      <c r="E2784" s="15"/>
    </row>
    <row r="2785" spans="4:5" x14ac:dyDescent="0.3">
      <c r="D2785" s="123"/>
      <c r="E2785" s="15"/>
    </row>
    <row r="2786" spans="4:5" x14ac:dyDescent="0.3">
      <c r="D2786" s="123"/>
      <c r="E2786" s="15"/>
    </row>
    <row r="2787" spans="4:5" x14ac:dyDescent="0.3">
      <c r="D2787" s="123"/>
      <c r="E2787" s="15"/>
    </row>
    <row r="2788" spans="4:5" x14ac:dyDescent="0.3">
      <c r="D2788" s="123"/>
      <c r="E2788" s="15"/>
    </row>
    <row r="2789" spans="4:5" x14ac:dyDescent="0.3">
      <c r="D2789" s="123"/>
      <c r="E2789" s="15"/>
    </row>
    <row r="2790" spans="4:5" x14ac:dyDescent="0.3">
      <c r="D2790" s="123"/>
      <c r="E2790" s="15"/>
    </row>
    <row r="2791" spans="4:5" x14ac:dyDescent="0.3">
      <c r="D2791" s="123"/>
      <c r="E2791" s="15"/>
    </row>
    <row r="2792" spans="4:5" x14ac:dyDescent="0.3">
      <c r="D2792" s="123"/>
      <c r="E2792" s="15"/>
    </row>
    <row r="2793" spans="4:5" x14ac:dyDescent="0.3">
      <c r="D2793" s="123"/>
      <c r="E2793" s="15"/>
    </row>
    <row r="2794" spans="4:5" x14ac:dyDescent="0.3">
      <c r="D2794" s="123"/>
      <c r="E2794" s="15"/>
    </row>
    <row r="2795" spans="4:5" x14ac:dyDescent="0.3">
      <c r="D2795" s="123"/>
      <c r="E2795" s="15"/>
    </row>
    <row r="2796" spans="4:5" x14ac:dyDescent="0.3">
      <c r="D2796" s="123"/>
      <c r="E2796" s="15"/>
    </row>
    <row r="2797" spans="4:5" x14ac:dyDescent="0.3">
      <c r="D2797" s="123"/>
      <c r="E2797" s="15"/>
    </row>
    <row r="2798" spans="4:5" x14ac:dyDescent="0.3">
      <c r="D2798" s="123"/>
      <c r="E2798" s="15"/>
    </row>
    <row r="2799" spans="4:5" x14ac:dyDescent="0.3">
      <c r="D2799" s="123"/>
      <c r="E2799" s="15"/>
    </row>
    <row r="2800" spans="4:5" x14ac:dyDescent="0.3">
      <c r="D2800" s="123"/>
      <c r="E2800" s="15"/>
    </row>
    <row r="2801" spans="4:5" x14ac:dyDescent="0.3">
      <c r="D2801" s="123"/>
      <c r="E2801" s="15"/>
    </row>
    <row r="2802" spans="4:5" x14ac:dyDescent="0.3">
      <c r="D2802" s="123"/>
      <c r="E2802" s="15"/>
    </row>
    <row r="2803" spans="4:5" x14ac:dyDescent="0.3">
      <c r="D2803" s="123"/>
      <c r="E2803" s="15"/>
    </row>
    <row r="2804" spans="4:5" x14ac:dyDescent="0.3">
      <c r="D2804" s="123"/>
      <c r="E2804" s="15"/>
    </row>
    <row r="2805" spans="4:5" x14ac:dyDescent="0.3">
      <c r="D2805" s="123"/>
      <c r="E2805" s="15"/>
    </row>
    <row r="2806" spans="4:5" x14ac:dyDescent="0.3">
      <c r="D2806" s="123"/>
      <c r="E2806" s="15"/>
    </row>
    <row r="2807" spans="4:5" x14ac:dyDescent="0.3">
      <c r="D2807" s="123"/>
      <c r="E2807" s="15"/>
    </row>
    <row r="2808" spans="4:5" x14ac:dyDescent="0.3">
      <c r="D2808" s="123"/>
      <c r="E2808" s="15"/>
    </row>
    <row r="2809" spans="4:5" x14ac:dyDescent="0.3">
      <c r="D2809" s="123"/>
      <c r="E2809" s="15"/>
    </row>
    <row r="2810" spans="4:5" x14ac:dyDescent="0.3">
      <c r="D2810" s="123"/>
      <c r="E2810" s="15"/>
    </row>
    <row r="2811" spans="4:5" x14ac:dyDescent="0.3">
      <c r="D2811" s="123"/>
      <c r="E2811" s="15"/>
    </row>
    <row r="2812" spans="4:5" x14ac:dyDescent="0.3">
      <c r="D2812" s="123"/>
      <c r="E2812" s="15"/>
    </row>
    <row r="2813" spans="4:5" x14ac:dyDescent="0.3">
      <c r="D2813" s="123"/>
      <c r="E2813" s="15"/>
    </row>
    <row r="2814" spans="4:5" x14ac:dyDescent="0.3">
      <c r="D2814" s="123"/>
      <c r="E2814" s="15"/>
    </row>
    <row r="2815" spans="4:5" x14ac:dyDescent="0.3">
      <c r="D2815" s="123"/>
      <c r="E2815" s="15"/>
    </row>
    <row r="2816" spans="4:5" x14ac:dyDescent="0.3">
      <c r="D2816" s="123"/>
      <c r="E2816" s="15"/>
    </row>
    <row r="2817" spans="4:5" x14ac:dyDescent="0.3">
      <c r="D2817" s="123"/>
      <c r="E2817" s="15"/>
    </row>
    <row r="2818" spans="4:5" x14ac:dyDescent="0.3">
      <c r="D2818" s="123"/>
      <c r="E2818" s="15"/>
    </row>
    <row r="2819" spans="4:5" x14ac:dyDescent="0.3">
      <c r="D2819" s="123"/>
      <c r="E2819" s="15"/>
    </row>
    <row r="2820" spans="4:5" x14ac:dyDescent="0.3">
      <c r="D2820" s="123"/>
      <c r="E2820" s="15"/>
    </row>
    <row r="2821" spans="4:5" x14ac:dyDescent="0.3">
      <c r="D2821" s="123"/>
      <c r="E2821" s="15"/>
    </row>
    <row r="2822" spans="4:5" x14ac:dyDescent="0.3">
      <c r="D2822" s="123"/>
      <c r="E2822" s="15"/>
    </row>
    <row r="2823" spans="4:5" x14ac:dyDescent="0.3">
      <c r="D2823" s="123"/>
      <c r="E2823" s="15"/>
    </row>
    <row r="2824" spans="4:5" x14ac:dyDescent="0.3">
      <c r="D2824" s="123"/>
      <c r="E2824" s="15"/>
    </row>
    <row r="2825" spans="4:5" x14ac:dyDescent="0.3">
      <c r="D2825" s="123"/>
      <c r="E2825" s="15"/>
    </row>
    <row r="2826" spans="4:5" x14ac:dyDescent="0.3">
      <c r="D2826" s="123"/>
      <c r="E2826" s="15"/>
    </row>
    <row r="2827" spans="4:5" x14ac:dyDescent="0.3">
      <c r="D2827" s="123"/>
      <c r="E2827" s="15"/>
    </row>
    <row r="2828" spans="4:5" x14ac:dyDescent="0.3">
      <c r="D2828" s="123"/>
      <c r="E2828" s="15"/>
    </row>
    <row r="2829" spans="4:5" x14ac:dyDescent="0.3">
      <c r="D2829" s="123"/>
      <c r="E2829" s="15"/>
    </row>
    <row r="2830" spans="4:5" x14ac:dyDescent="0.3">
      <c r="D2830" s="123"/>
      <c r="E2830" s="15"/>
    </row>
    <row r="2831" spans="4:5" x14ac:dyDescent="0.3">
      <c r="D2831" s="123"/>
      <c r="E2831" s="15"/>
    </row>
    <row r="2832" spans="4:5" x14ac:dyDescent="0.3">
      <c r="D2832" s="123"/>
      <c r="E2832" s="15"/>
    </row>
    <row r="2833" spans="4:5" x14ac:dyDescent="0.3">
      <c r="D2833" s="123"/>
      <c r="E2833" s="15"/>
    </row>
    <row r="2834" spans="4:5" x14ac:dyDescent="0.3">
      <c r="D2834" s="123"/>
      <c r="E2834" s="15"/>
    </row>
    <row r="2835" spans="4:5" x14ac:dyDescent="0.3">
      <c r="D2835" s="123"/>
      <c r="E2835" s="15"/>
    </row>
    <row r="2836" spans="4:5" x14ac:dyDescent="0.3">
      <c r="D2836" s="123"/>
      <c r="E2836" s="15"/>
    </row>
    <row r="2837" spans="4:5" x14ac:dyDescent="0.3">
      <c r="D2837" s="123"/>
      <c r="E2837" s="15"/>
    </row>
    <row r="2838" spans="4:5" x14ac:dyDescent="0.3">
      <c r="D2838" s="123"/>
      <c r="E2838" s="15"/>
    </row>
    <row r="2839" spans="4:5" x14ac:dyDescent="0.3">
      <c r="D2839" s="123"/>
      <c r="E2839" s="15"/>
    </row>
    <row r="2840" spans="4:5" x14ac:dyDescent="0.3">
      <c r="D2840" s="123"/>
      <c r="E2840" s="15"/>
    </row>
    <row r="2841" spans="4:5" x14ac:dyDescent="0.3">
      <c r="D2841" s="123"/>
      <c r="E2841" s="15"/>
    </row>
    <row r="2842" spans="4:5" x14ac:dyDescent="0.3">
      <c r="D2842" s="123"/>
      <c r="E2842" s="15"/>
    </row>
    <row r="2843" spans="4:5" x14ac:dyDescent="0.3">
      <c r="D2843" s="123"/>
      <c r="E2843" s="15"/>
    </row>
    <row r="2844" spans="4:5" x14ac:dyDescent="0.3">
      <c r="D2844" s="123"/>
      <c r="E2844" s="15"/>
    </row>
    <row r="2845" spans="4:5" x14ac:dyDescent="0.3">
      <c r="D2845" s="123"/>
      <c r="E2845" s="15"/>
    </row>
    <row r="2846" spans="4:5" x14ac:dyDescent="0.3">
      <c r="D2846" s="123"/>
      <c r="E2846" s="15"/>
    </row>
    <row r="2847" spans="4:5" x14ac:dyDescent="0.3">
      <c r="D2847" s="123"/>
      <c r="E2847" s="15"/>
    </row>
    <row r="2848" spans="4:5" x14ac:dyDescent="0.3">
      <c r="D2848" s="123"/>
      <c r="E2848" s="15"/>
    </row>
    <row r="2849" spans="4:5" x14ac:dyDescent="0.3">
      <c r="D2849" s="123"/>
      <c r="E2849" s="15"/>
    </row>
    <row r="2850" spans="4:5" x14ac:dyDescent="0.3">
      <c r="D2850" s="123"/>
      <c r="E2850" s="15"/>
    </row>
    <row r="2851" spans="4:5" x14ac:dyDescent="0.3">
      <c r="D2851" s="123"/>
      <c r="E2851" s="15"/>
    </row>
    <row r="2852" spans="4:5" x14ac:dyDescent="0.3">
      <c r="D2852" s="123"/>
      <c r="E2852" s="15"/>
    </row>
    <row r="2853" spans="4:5" x14ac:dyDescent="0.3">
      <c r="D2853" s="123"/>
      <c r="E2853" s="15"/>
    </row>
    <row r="2854" spans="4:5" x14ac:dyDescent="0.3">
      <c r="D2854" s="123"/>
      <c r="E2854" s="15"/>
    </row>
    <row r="2855" spans="4:5" x14ac:dyDescent="0.3">
      <c r="D2855" s="123"/>
      <c r="E2855" s="15"/>
    </row>
    <row r="2856" spans="4:5" x14ac:dyDescent="0.3">
      <c r="D2856" s="123"/>
      <c r="E2856" s="15"/>
    </row>
    <row r="2857" spans="4:5" x14ac:dyDescent="0.3">
      <c r="D2857" s="123"/>
      <c r="E2857" s="15"/>
    </row>
    <row r="2858" spans="4:5" x14ac:dyDescent="0.3">
      <c r="D2858" s="123"/>
      <c r="E2858" s="15"/>
    </row>
    <row r="2859" spans="4:5" x14ac:dyDescent="0.3">
      <c r="D2859" s="123"/>
      <c r="E2859" s="15"/>
    </row>
    <row r="2860" spans="4:5" x14ac:dyDescent="0.3">
      <c r="D2860" s="123"/>
      <c r="E2860" s="15"/>
    </row>
    <row r="2861" spans="4:5" x14ac:dyDescent="0.3">
      <c r="D2861" s="123"/>
      <c r="E2861" s="15"/>
    </row>
    <row r="2862" spans="4:5" x14ac:dyDescent="0.3">
      <c r="D2862" s="123"/>
      <c r="E2862" s="15"/>
    </row>
    <row r="2863" spans="4:5" x14ac:dyDescent="0.3">
      <c r="D2863" s="123"/>
      <c r="E2863" s="15"/>
    </row>
    <row r="2864" spans="4:5" x14ac:dyDescent="0.3">
      <c r="D2864" s="123"/>
      <c r="E2864" s="15"/>
    </row>
    <row r="2865" spans="4:5" x14ac:dyDescent="0.3">
      <c r="D2865" s="123"/>
      <c r="E2865" s="15"/>
    </row>
    <row r="2866" spans="4:5" x14ac:dyDescent="0.3">
      <c r="D2866" s="123"/>
      <c r="E2866" s="15"/>
    </row>
    <row r="2867" spans="4:5" x14ac:dyDescent="0.3">
      <c r="D2867" s="123"/>
      <c r="E2867" s="15"/>
    </row>
    <row r="2868" spans="4:5" x14ac:dyDescent="0.3">
      <c r="D2868" s="123"/>
      <c r="E2868" s="15"/>
    </row>
    <row r="2869" spans="4:5" x14ac:dyDescent="0.3">
      <c r="D2869" s="123"/>
      <c r="E2869" s="15"/>
    </row>
    <row r="2870" spans="4:5" x14ac:dyDescent="0.3">
      <c r="D2870" s="123"/>
      <c r="E2870" s="15"/>
    </row>
    <row r="2871" spans="4:5" x14ac:dyDescent="0.3">
      <c r="D2871" s="123"/>
      <c r="E2871" s="15"/>
    </row>
    <row r="2872" spans="4:5" x14ac:dyDescent="0.3">
      <c r="D2872" s="123"/>
      <c r="E2872" s="15"/>
    </row>
    <row r="2873" spans="4:5" x14ac:dyDescent="0.3">
      <c r="D2873" s="123"/>
      <c r="E2873" s="15"/>
    </row>
    <row r="2874" spans="4:5" x14ac:dyDescent="0.3">
      <c r="D2874" s="123"/>
      <c r="E2874" s="15"/>
    </row>
    <row r="2875" spans="4:5" x14ac:dyDescent="0.3">
      <c r="D2875" s="123"/>
      <c r="E2875" s="15"/>
    </row>
    <row r="2876" spans="4:5" x14ac:dyDescent="0.3">
      <c r="D2876" s="123"/>
      <c r="E2876" s="15"/>
    </row>
    <row r="2877" spans="4:5" x14ac:dyDescent="0.3">
      <c r="D2877" s="123"/>
      <c r="E2877" s="15"/>
    </row>
    <row r="2878" spans="4:5" x14ac:dyDescent="0.3">
      <c r="D2878" s="123"/>
      <c r="E2878" s="15"/>
    </row>
    <row r="2879" spans="4:5" x14ac:dyDescent="0.3">
      <c r="D2879" s="123"/>
      <c r="E2879" s="15"/>
    </row>
    <row r="2880" spans="4:5" x14ac:dyDescent="0.3">
      <c r="D2880" s="123"/>
      <c r="E2880" s="15"/>
    </row>
    <row r="2881" spans="4:5" x14ac:dyDescent="0.3">
      <c r="D2881" s="123"/>
      <c r="E2881" s="15"/>
    </row>
    <row r="2882" spans="4:5" x14ac:dyDescent="0.3">
      <c r="D2882" s="123"/>
      <c r="E2882" s="15"/>
    </row>
    <row r="2883" spans="4:5" x14ac:dyDescent="0.3">
      <c r="D2883" s="123"/>
      <c r="E2883" s="15"/>
    </row>
    <row r="2884" spans="4:5" x14ac:dyDescent="0.3">
      <c r="D2884" s="123"/>
      <c r="E2884" s="15"/>
    </row>
    <row r="2885" spans="4:5" x14ac:dyDescent="0.3">
      <c r="D2885" s="123"/>
      <c r="E2885" s="15"/>
    </row>
    <row r="2886" spans="4:5" x14ac:dyDescent="0.3">
      <c r="D2886" s="123"/>
      <c r="E2886" s="15"/>
    </row>
    <row r="2887" spans="4:5" x14ac:dyDescent="0.3">
      <c r="D2887" s="123"/>
      <c r="E2887" s="15"/>
    </row>
    <row r="2888" spans="4:5" x14ac:dyDescent="0.3">
      <c r="D2888" s="123"/>
      <c r="E2888" s="15"/>
    </row>
    <row r="2889" spans="4:5" x14ac:dyDescent="0.3">
      <c r="D2889" s="123"/>
      <c r="E2889" s="15"/>
    </row>
    <row r="2890" spans="4:5" x14ac:dyDescent="0.3">
      <c r="D2890" s="123"/>
      <c r="E2890" s="15"/>
    </row>
    <row r="2891" spans="4:5" x14ac:dyDescent="0.3">
      <c r="D2891" s="123"/>
      <c r="E2891" s="15"/>
    </row>
    <row r="2892" spans="4:5" x14ac:dyDescent="0.3">
      <c r="D2892" s="123"/>
      <c r="E2892" s="15"/>
    </row>
    <row r="2893" spans="4:5" x14ac:dyDescent="0.3">
      <c r="D2893" s="123"/>
      <c r="E2893" s="15"/>
    </row>
    <row r="2894" spans="4:5" x14ac:dyDescent="0.3">
      <c r="D2894" s="123"/>
      <c r="E2894" s="15"/>
    </row>
    <row r="2895" spans="4:5" x14ac:dyDescent="0.3">
      <c r="D2895" s="123"/>
      <c r="E2895" s="15"/>
    </row>
    <row r="2896" spans="4:5" x14ac:dyDescent="0.3">
      <c r="D2896" s="123"/>
      <c r="E2896" s="15"/>
    </row>
    <row r="2897" spans="4:5" x14ac:dyDescent="0.3">
      <c r="D2897" s="123"/>
      <c r="E2897" s="15"/>
    </row>
    <row r="2898" spans="4:5" x14ac:dyDescent="0.3">
      <c r="D2898" s="123"/>
      <c r="E2898" s="15"/>
    </row>
    <row r="2899" spans="4:5" x14ac:dyDescent="0.3">
      <c r="D2899" s="123"/>
      <c r="E2899" s="15"/>
    </row>
    <row r="2900" spans="4:5" x14ac:dyDescent="0.3">
      <c r="D2900" s="123"/>
      <c r="E29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Income Statement</vt:lpstr>
      <vt:lpstr>Balance sheet</vt:lpstr>
      <vt:lpstr>Cash Flow Statement</vt:lpstr>
      <vt:lpstr>Revenue Assumptions</vt:lpstr>
      <vt:lpstr>Cost Assumptions</vt:lpstr>
      <vt:lpstr>Working Capital</vt:lpstr>
      <vt:lpstr>Debt</vt:lpstr>
      <vt:lpstr>Depreciation &amp; Amortisation</vt:lpstr>
      <vt:lpstr>DCF</vt:lpstr>
      <vt:lpstr>Relative Valuation</vt:lpstr>
      <vt:lpstr>Summary</vt:lpstr>
      <vt:lpstr>WACC</vt:lpstr>
      <vt:lpstr>Index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2026-08-29T06:08:12Z</dcterms:created>
  <dcterms:modified xsi:type="dcterms:W3CDTF">2026-09-19T15:46:20Z</dcterms:modified>
</cp:coreProperties>
</file>