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33FA5B6-F5BA-49B5-8634-0ED59BC9A85C}" xr6:coauthVersionLast="36" xr6:coauthVersionMax="36" xr10:uidLastSave="{00000000-0000-0000-0000-000000000000}"/>
  <bookViews>
    <workbookView xWindow="0" yWindow="0" windowWidth="23040" windowHeight="8304" xr2:uid="{89E69885-5099-4548-86A2-957B1EDB9F90}"/>
  </bookViews>
  <sheets>
    <sheet name="Index" sheetId="5" r:id="rId1"/>
    <sheet name="Income Statement" sheetId="1" r:id="rId2"/>
    <sheet name="Balance Sheet" sheetId="2" r:id="rId3"/>
    <sheet name="Cash Flows " sheetId="3" r:id="rId4"/>
    <sheet name="Ratio Analysis" sheetId="4" r:id="rId5"/>
    <sheet name="Revenue Built Up" sheetId="6" r:id="rId6"/>
    <sheet name="Cost Sheet" sheetId="7" r:id="rId7"/>
    <sheet name="Working Cap" sheetId="8" r:id="rId8"/>
    <sheet name="Dep &amp; Capex" sheetId="9" r:id="rId9"/>
    <sheet name="DCF " sheetId="15" r:id="rId10"/>
    <sheet name="Relative Valuation" sheetId="16" r:id="rId11"/>
    <sheet name="Equity Return" sheetId="17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5" l="1"/>
  <c r="C6" i="15"/>
  <c r="I47" i="15" l="1"/>
  <c r="E29" i="15"/>
  <c r="E28" i="15"/>
  <c r="I21" i="15"/>
  <c r="H21" i="15"/>
  <c r="G21" i="15"/>
  <c r="F21" i="15"/>
  <c r="E21" i="15"/>
  <c r="H9" i="8"/>
  <c r="I20" i="15"/>
  <c r="H20" i="15"/>
  <c r="G20" i="15"/>
  <c r="F20" i="15"/>
  <c r="I19" i="15"/>
  <c r="H19" i="15"/>
  <c r="G19" i="15"/>
  <c r="F19" i="15"/>
  <c r="E19" i="15"/>
  <c r="E20" i="15"/>
  <c r="I17" i="15"/>
  <c r="H17" i="15"/>
  <c r="H18" i="15" s="1"/>
  <c r="G17" i="15"/>
  <c r="F17" i="15"/>
  <c r="E17" i="15"/>
  <c r="I16" i="15"/>
  <c r="H16" i="15"/>
  <c r="G16" i="15"/>
  <c r="F16" i="15"/>
  <c r="E16" i="15"/>
  <c r="I14" i="15"/>
  <c r="J14" i="15" s="1"/>
  <c r="H14" i="15"/>
  <c r="G14" i="15"/>
  <c r="E12" i="15"/>
  <c r="F14" i="15" s="1"/>
  <c r="D12" i="15"/>
  <c r="E14" i="15" s="1"/>
  <c r="F11" i="15"/>
  <c r="G11" i="15" s="1"/>
  <c r="H11" i="15" s="1"/>
  <c r="I11" i="15" s="1"/>
  <c r="M24" i="15"/>
  <c r="G59" i="2"/>
  <c r="F59" i="2"/>
  <c r="E59" i="2"/>
  <c r="D59" i="2"/>
  <c r="G57" i="2"/>
  <c r="F57" i="2"/>
  <c r="E57" i="2"/>
  <c r="D57" i="2"/>
  <c r="C57" i="2"/>
  <c r="M29" i="15"/>
  <c r="M30" i="15" s="1"/>
  <c r="M25" i="15"/>
  <c r="Q10" i="15"/>
  <c r="R10" i="15"/>
  <c r="Q9" i="15"/>
  <c r="R9" i="15"/>
  <c r="E18" i="15" l="1"/>
  <c r="I39" i="15"/>
  <c r="J39" i="15" s="1"/>
  <c r="G39" i="15"/>
  <c r="F39" i="15" s="1"/>
  <c r="H22" i="15"/>
  <c r="H24" i="15" s="1"/>
  <c r="F18" i="15"/>
  <c r="F22" i="15" s="1"/>
  <c r="F24" i="15" s="1"/>
  <c r="I18" i="15"/>
  <c r="I22" i="15" s="1"/>
  <c r="I24" i="15" s="1"/>
  <c r="G18" i="15"/>
  <c r="G22" i="15" s="1"/>
  <c r="G24" i="15" s="1"/>
  <c r="E22" i="15"/>
  <c r="E24" i="15" s="1"/>
  <c r="M26" i="15"/>
  <c r="M12" i="15"/>
  <c r="M20" i="15" s="1"/>
  <c r="N12" i="15"/>
  <c r="M21" i="15" s="1"/>
  <c r="M3" i="15"/>
  <c r="N3" i="15"/>
  <c r="O3" i="15" s="1"/>
  <c r="M4" i="15"/>
  <c r="N4" i="15"/>
  <c r="M5" i="15"/>
  <c r="N5" i="15"/>
  <c r="M6" i="15"/>
  <c r="N6" i="15"/>
  <c r="M7" i="15"/>
  <c r="N7" i="15"/>
  <c r="P7" i="15" s="1"/>
  <c r="M8" i="15"/>
  <c r="N8" i="15"/>
  <c r="L3" i="15"/>
  <c r="L4" i="15"/>
  <c r="L5" i="15"/>
  <c r="L6" i="15"/>
  <c r="L7" i="15"/>
  <c r="L8" i="15"/>
  <c r="P6" i="15" l="1"/>
  <c r="P8" i="15"/>
  <c r="O4" i="15"/>
  <c r="S4" i="15" s="1"/>
  <c r="P5" i="15"/>
  <c r="M22" i="15"/>
  <c r="O7" i="15"/>
  <c r="S7" i="15" s="1"/>
  <c r="O8" i="15"/>
  <c r="S8" i="15" s="1"/>
  <c r="P4" i="15"/>
  <c r="P3" i="15"/>
  <c r="O6" i="15"/>
  <c r="S6" i="15" s="1"/>
  <c r="O5" i="15"/>
  <c r="S5" i="15" s="1"/>
  <c r="S3" i="15"/>
  <c r="P10" i="15" l="1"/>
  <c r="P9" i="15"/>
  <c r="M17" i="15" s="1"/>
  <c r="M18" i="15" s="1"/>
  <c r="O10" i="15"/>
  <c r="O9" i="15"/>
  <c r="S9" i="15"/>
  <c r="S10" i="15"/>
  <c r="M31" i="15" s="1"/>
  <c r="M32" i="15" s="1"/>
  <c r="M34" i="15" s="1"/>
  <c r="J5" i="15" l="1"/>
  <c r="F4" i="17" l="1"/>
  <c r="F5" i="17" s="1"/>
  <c r="C9" i="15"/>
  <c r="J4" i="15"/>
  <c r="J6" i="15" s="1"/>
  <c r="J22" i="15" s="1"/>
  <c r="J24" i="15" s="1"/>
  <c r="E27" i="15" s="1"/>
  <c r="E31" i="15" s="1"/>
  <c r="E33" i="15" s="1"/>
  <c r="E47" i="15" s="1"/>
  <c r="E35" i="15" l="1"/>
  <c r="E39" i="15"/>
  <c r="D28" i="16"/>
  <c r="G27" i="16"/>
  <c r="I27" i="16" s="1"/>
  <c r="G26" i="16"/>
  <c r="F28" i="16"/>
  <c r="F27" i="16"/>
  <c r="F26" i="16"/>
  <c r="E26" i="16"/>
  <c r="G28" i="16"/>
  <c r="H28" i="16"/>
  <c r="I28" i="16" s="1"/>
  <c r="H27" i="16"/>
  <c r="H26" i="16"/>
  <c r="I26" i="16"/>
  <c r="E27" i="16"/>
  <c r="E28" i="16" s="1"/>
  <c r="D27" i="16"/>
  <c r="D26" i="16"/>
  <c r="C28" i="16"/>
  <c r="C27" i="16"/>
  <c r="C26" i="16"/>
  <c r="B28" i="16"/>
  <c r="B27" i="16"/>
  <c r="B26" i="16"/>
  <c r="O23" i="16"/>
  <c r="N23" i="16"/>
  <c r="M23" i="16"/>
  <c r="O19" i="16"/>
  <c r="O18" i="16"/>
  <c r="O17" i="16"/>
  <c r="O16" i="16"/>
  <c r="O15" i="16"/>
  <c r="O14" i="16"/>
  <c r="O21" i="16" s="1"/>
  <c r="N19" i="16"/>
  <c r="N18" i="16"/>
  <c r="N17" i="16"/>
  <c r="N16" i="16"/>
  <c r="N15" i="16"/>
  <c r="N14" i="16"/>
  <c r="N21" i="16"/>
  <c r="M21" i="16"/>
  <c r="N20" i="16"/>
  <c r="M20" i="16"/>
  <c r="M14" i="16"/>
  <c r="M15" i="16"/>
  <c r="M16" i="16"/>
  <c r="M17" i="16"/>
  <c r="M18" i="16"/>
  <c r="M19" i="16"/>
  <c r="L23" i="16"/>
  <c r="L14" i="16"/>
  <c r="L15" i="16"/>
  <c r="L16" i="16"/>
  <c r="L17" i="16"/>
  <c r="L18" i="16"/>
  <c r="L19" i="16"/>
  <c r="K23" i="16"/>
  <c r="K14" i="16"/>
  <c r="K15" i="16"/>
  <c r="K16" i="16"/>
  <c r="K17" i="16"/>
  <c r="K18" i="16"/>
  <c r="K19" i="16"/>
  <c r="J23" i="16"/>
  <c r="J14" i="16"/>
  <c r="J15" i="16"/>
  <c r="J16" i="16"/>
  <c r="J17" i="16"/>
  <c r="J18" i="16"/>
  <c r="J19" i="16"/>
  <c r="I23" i="16"/>
  <c r="I19" i="16"/>
  <c r="I18" i="16"/>
  <c r="I17" i="16"/>
  <c r="I16" i="16"/>
  <c r="I15" i="16"/>
  <c r="I14" i="16"/>
  <c r="H23" i="16"/>
  <c r="H14" i="16"/>
  <c r="H15" i="16"/>
  <c r="H16" i="16"/>
  <c r="H17" i="16"/>
  <c r="H18" i="16"/>
  <c r="H19" i="16"/>
  <c r="G23" i="16"/>
  <c r="G14" i="16"/>
  <c r="G15" i="16"/>
  <c r="G16" i="16"/>
  <c r="G17" i="16"/>
  <c r="G18" i="16"/>
  <c r="G19" i="16"/>
  <c r="F23" i="16"/>
  <c r="F17" i="16"/>
  <c r="F15" i="16"/>
  <c r="F14" i="16"/>
  <c r="E23" i="16"/>
  <c r="E19" i="16"/>
  <c r="E18" i="16"/>
  <c r="E17" i="16"/>
  <c r="E16" i="16"/>
  <c r="F16" i="16" s="1"/>
  <c r="E15" i="16"/>
  <c r="E14" i="16"/>
  <c r="D23" i="16"/>
  <c r="D19" i="16"/>
  <c r="F19" i="16" s="1"/>
  <c r="D18" i="16"/>
  <c r="F18" i="16" s="1"/>
  <c r="D17" i="16"/>
  <c r="D16" i="16"/>
  <c r="D15" i="16"/>
  <c r="D14" i="16"/>
  <c r="B14" i="16"/>
  <c r="B15" i="16"/>
  <c r="B16" i="16"/>
  <c r="B17" i="16"/>
  <c r="B18" i="16"/>
  <c r="B19" i="16"/>
  <c r="O20" i="16" l="1"/>
  <c r="H24" i="1" l="1"/>
  <c r="H22" i="1"/>
  <c r="G72" i="3" l="1"/>
  <c r="F72" i="3"/>
  <c r="E72" i="3"/>
  <c r="D72" i="3"/>
  <c r="C72" i="3"/>
  <c r="H23" i="3" l="1"/>
  <c r="I12" i="2"/>
  <c r="J12" i="2" s="1"/>
  <c r="K12" i="2" s="1"/>
  <c r="L12" i="2" s="1"/>
  <c r="H40" i="2"/>
  <c r="I40" i="2" s="1"/>
  <c r="J40" i="2" s="1"/>
  <c r="K40" i="2" s="1"/>
  <c r="L40" i="2" s="1"/>
  <c r="J23" i="3" l="1"/>
  <c r="I23" i="3"/>
  <c r="K23" i="3"/>
  <c r="L23" i="3"/>
  <c r="I59" i="3" l="1"/>
  <c r="J59" i="3" s="1"/>
  <c r="K59" i="3" s="1"/>
  <c r="L59" i="3" s="1"/>
  <c r="H7" i="2" l="1"/>
  <c r="H5" i="2"/>
  <c r="H45" i="2"/>
  <c r="H44" i="2"/>
  <c r="H43" i="2"/>
  <c r="H42" i="2"/>
  <c r="H41" i="2"/>
  <c r="H37" i="2"/>
  <c r="H36" i="2"/>
  <c r="H35" i="2"/>
  <c r="H34" i="2"/>
  <c r="H33" i="2"/>
  <c r="H32" i="2"/>
  <c r="H30" i="2"/>
  <c r="I30" i="2" s="1"/>
  <c r="J30" i="2" s="1"/>
  <c r="K30" i="2" s="1"/>
  <c r="L30" i="2" s="1"/>
  <c r="H48" i="2"/>
  <c r="I41" i="2"/>
  <c r="J41" i="2" s="1"/>
  <c r="K41" i="2" s="1"/>
  <c r="L41" i="2" s="1"/>
  <c r="I13" i="1"/>
  <c r="J13" i="1" s="1"/>
  <c r="K13" i="1" s="1"/>
  <c r="L13" i="1" s="1"/>
  <c r="H13" i="1"/>
  <c r="D6" i="1"/>
  <c r="E6" i="1"/>
  <c r="F6" i="1"/>
  <c r="G6" i="1"/>
  <c r="G7" i="1" s="1"/>
  <c r="G9" i="1" s="1"/>
  <c r="G11" i="1" s="1"/>
  <c r="G14" i="1" s="1"/>
  <c r="G19" i="1" s="1"/>
  <c r="D7" i="1"/>
  <c r="D9" i="1" s="1"/>
  <c r="D11" i="1" s="1"/>
  <c r="D14" i="1" s="1"/>
  <c r="D19" i="1" s="1"/>
  <c r="E7" i="1"/>
  <c r="E9" i="1" s="1"/>
  <c r="E11" i="1" s="1"/>
  <c r="E14" i="1" s="1"/>
  <c r="E19" i="1" s="1"/>
  <c r="F7" i="1"/>
  <c r="F9" i="1" s="1"/>
  <c r="F11" i="1" s="1"/>
  <c r="F14" i="1" s="1"/>
  <c r="F19" i="1" s="1"/>
  <c r="D27" i="1"/>
  <c r="E27" i="1"/>
  <c r="F27" i="1"/>
  <c r="F30" i="1" s="1"/>
  <c r="G27" i="1"/>
  <c r="G30" i="1" s="1"/>
  <c r="D30" i="1"/>
  <c r="E30" i="1"/>
  <c r="G23" i="1" l="1"/>
  <c r="G25" i="1" s="1"/>
  <c r="G32" i="1"/>
  <c r="F32" i="1"/>
  <c r="F23" i="1"/>
  <c r="E32" i="1"/>
  <c r="E23" i="1"/>
  <c r="D23" i="1"/>
  <c r="D32" i="1"/>
  <c r="G31" i="1" l="1"/>
  <c r="D31" i="1"/>
  <c r="D25" i="1"/>
  <c r="F25" i="1"/>
  <c r="F31" i="1"/>
  <c r="E25" i="1"/>
  <c r="E31" i="1"/>
  <c r="I35" i="2"/>
  <c r="J35" i="2" s="1"/>
  <c r="K35" i="2" s="1"/>
  <c r="L35" i="2" s="1"/>
  <c r="I28" i="3" l="1"/>
  <c r="J28" i="3" s="1"/>
  <c r="K28" i="3" s="1"/>
  <c r="L28" i="3" s="1"/>
  <c r="I24" i="1"/>
  <c r="J24" i="1" s="1"/>
  <c r="K24" i="1" s="1"/>
  <c r="L24" i="1" s="1"/>
  <c r="H51" i="2"/>
  <c r="I75" i="3"/>
  <c r="J75" i="3" s="1"/>
  <c r="K75" i="3" s="1"/>
  <c r="L75" i="3" s="1"/>
  <c r="I62" i="3"/>
  <c r="J62" i="3" s="1"/>
  <c r="K62" i="3" s="1"/>
  <c r="L62" i="3" s="1"/>
  <c r="H28" i="1"/>
  <c r="I28" i="1" s="1"/>
  <c r="J28" i="1" s="1"/>
  <c r="K28" i="1" s="1"/>
  <c r="L28" i="1" s="1"/>
  <c r="I60" i="3"/>
  <c r="J60" i="3" s="1"/>
  <c r="K60" i="3" s="1"/>
  <c r="L60" i="3" s="1"/>
  <c r="I35" i="3"/>
  <c r="J35" i="3" s="1"/>
  <c r="I37" i="3"/>
  <c r="J37" i="3" s="1"/>
  <c r="K37" i="3" s="1"/>
  <c r="L37" i="3" s="1"/>
  <c r="I36" i="3"/>
  <c r="J36" i="3" s="1"/>
  <c r="K36" i="3" s="1"/>
  <c r="L36" i="3" s="1"/>
  <c r="I39" i="3"/>
  <c r="J39" i="3" s="1"/>
  <c r="K39" i="3" s="1"/>
  <c r="L39" i="3" s="1"/>
  <c r="I40" i="3"/>
  <c r="J40" i="3" s="1"/>
  <c r="K40" i="3" s="1"/>
  <c r="L40" i="3" s="1"/>
  <c r="I45" i="3"/>
  <c r="J45" i="3" s="1"/>
  <c r="K45" i="3" s="1"/>
  <c r="L45" i="3" s="1"/>
  <c r="I47" i="3"/>
  <c r="J47" i="3" s="1"/>
  <c r="K47" i="3" s="1"/>
  <c r="L47" i="3" s="1"/>
  <c r="I52" i="3"/>
  <c r="J52" i="3" s="1"/>
  <c r="K52" i="3" s="1"/>
  <c r="L52" i="3" s="1"/>
  <c r="I30" i="3"/>
  <c r="J30" i="3" s="1"/>
  <c r="K30" i="3" s="1"/>
  <c r="L30" i="3" s="1"/>
  <c r="I29" i="3"/>
  <c r="J29" i="3" s="1"/>
  <c r="K29" i="3" s="1"/>
  <c r="L29" i="3" s="1"/>
  <c r="I26" i="3"/>
  <c r="J26" i="3" s="1"/>
  <c r="K26" i="3" s="1"/>
  <c r="L26" i="3" s="1"/>
  <c r="I25" i="3"/>
  <c r="J25" i="3" s="1"/>
  <c r="K25" i="3" s="1"/>
  <c r="L25" i="3" s="1"/>
  <c r="I18" i="3"/>
  <c r="J18" i="3" s="1"/>
  <c r="K18" i="3" s="1"/>
  <c r="L18" i="3" s="1"/>
  <c r="I19" i="3"/>
  <c r="J19" i="3" s="1"/>
  <c r="K19" i="3" s="1"/>
  <c r="L19" i="3" s="1"/>
  <c r="I15" i="3"/>
  <c r="J15" i="3" s="1"/>
  <c r="K15" i="3" s="1"/>
  <c r="L15" i="3" s="1"/>
  <c r="I13" i="3"/>
  <c r="J13" i="3" s="1"/>
  <c r="K13" i="3" s="1"/>
  <c r="L13" i="3" s="1"/>
  <c r="I11" i="3"/>
  <c r="J11" i="3" s="1"/>
  <c r="K11" i="3" s="1"/>
  <c r="L11" i="3" s="1"/>
  <c r="I9" i="3"/>
  <c r="J9" i="3" s="1"/>
  <c r="K9" i="3" s="1"/>
  <c r="L9" i="3" s="1"/>
  <c r="I8" i="3"/>
  <c r="J8" i="3" s="1"/>
  <c r="K8" i="3" s="1"/>
  <c r="L8" i="3" s="1"/>
  <c r="I7" i="3"/>
  <c r="J7" i="3" s="1"/>
  <c r="K7" i="3" s="1"/>
  <c r="L7" i="3" s="1"/>
  <c r="E102" i="9"/>
  <c r="E101" i="9"/>
  <c r="E100" i="9"/>
  <c r="E99" i="9"/>
  <c r="E98" i="9"/>
  <c r="E93" i="9"/>
  <c r="E92" i="9"/>
  <c r="E91" i="9"/>
  <c r="E90" i="9"/>
  <c r="E89" i="9"/>
  <c r="E84" i="9"/>
  <c r="E83" i="9"/>
  <c r="E82" i="9"/>
  <c r="E81" i="9"/>
  <c r="E80" i="9"/>
  <c r="E75" i="9"/>
  <c r="E74" i="9"/>
  <c r="E73" i="9"/>
  <c r="E72" i="9"/>
  <c r="E71" i="9"/>
  <c r="E66" i="9"/>
  <c r="E65" i="9"/>
  <c r="E64" i="9"/>
  <c r="E63" i="9"/>
  <c r="E62" i="9"/>
  <c r="E57" i="9"/>
  <c r="E56" i="9"/>
  <c r="E55" i="9"/>
  <c r="E54" i="9"/>
  <c r="E53" i="9"/>
  <c r="E48" i="9"/>
  <c r="E47" i="9"/>
  <c r="E46" i="9"/>
  <c r="E45" i="9"/>
  <c r="E44" i="9"/>
  <c r="C42" i="9"/>
  <c r="E36" i="9"/>
  <c r="E37" i="9"/>
  <c r="E38" i="9"/>
  <c r="E39" i="9"/>
  <c r="E35" i="9"/>
  <c r="C33" i="9"/>
  <c r="D71" i="9" a="1"/>
  <c r="J87" i="9"/>
  <c r="H69" i="9"/>
  <c r="I69" i="9"/>
  <c r="K60" i="9"/>
  <c r="J60" i="9"/>
  <c r="H42" i="9"/>
  <c r="L42" i="9"/>
  <c r="C95" i="9"/>
  <c r="L96" i="9" s="1"/>
  <c r="C96" i="9"/>
  <c r="H96" i="9" s="1"/>
  <c r="C86" i="9"/>
  <c r="I87" i="9" s="1"/>
  <c r="C87" i="9"/>
  <c r="K87" i="9" s="1"/>
  <c r="C77" i="9"/>
  <c r="L78" i="9" s="1"/>
  <c r="C78" i="9"/>
  <c r="C68" i="9"/>
  <c r="L69" i="9" s="1"/>
  <c r="C69" i="9"/>
  <c r="C60" i="9"/>
  <c r="C59" i="9"/>
  <c r="I60" i="9" s="1"/>
  <c r="C51" i="9"/>
  <c r="C50" i="9"/>
  <c r="L51" i="9" s="1"/>
  <c r="C41" i="9"/>
  <c r="K42" i="9" s="1"/>
  <c r="C32" i="9"/>
  <c r="K35" i="3" l="1"/>
  <c r="L35" i="3" s="1"/>
  <c r="H51" i="9"/>
  <c r="L60" i="9"/>
  <c r="I78" i="9"/>
  <c r="L87" i="9"/>
  <c r="H60" i="9"/>
  <c r="J78" i="9"/>
  <c r="J51" i="9"/>
  <c r="I96" i="9"/>
  <c r="H78" i="9"/>
  <c r="I51" i="9"/>
  <c r="K78" i="9"/>
  <c r="I42" i="9"/>
  <c r="K51" i="9"/>
  <c r="J69" i="9"/>
  <c r="J96" i="9"/>
  <c r="J42" i="9"/>
  <c r="K69" i="9"/>
  <c r="H87" i="9"/>
  <c r="K96" i="9"/>
  <c r="L33" i="9" l="1"/>
  <c r="K33" i="9"/>
  <c r="J33" i="9"/>
  <c r="I33" i="9"/>
  <c r="H33" i="9"/>
  <c r="H19" i="2"/>
  <c r="I19" i="2" s="1"/>
  <c r="J19" i="2" s="1"/>
  <c r="K19" i="2" s="1"/>
  <c r="L19" i="2" s="1"/>
  <c r="C4" i="9" l="1"/>
  <c r="L22" i="9"/>
  <c r="K22" i="9"/>
  <c r="J22" i="9"/>
  <c r="I22" i="9"/>
  <c r="H22" i="9"/>
  <c r="G22" i="9"/>
  <c r="F22" i="9"/>
  <c r="E22" i="9"/>
  <c r="D22" i="9"/>
  <c r="C22" i="9"/>
  <c r="C21" i="9"/>
  <c r="E14" i="9" s="1"/>
  <c r="G11" i="9"/>
  <c r="H7" i="9" s="1"/>
  <c r="G4" i="9"/>
  <c r="F4" i="9"/>
  <c r="E4" i="9"/>
  <c r="D4" i="9"/>
  <c r="G3" i="9"/>
  <c r="F3" i="9"/>
  <c r="E3" i="9"/>
  <c r="D3" i="9"/>
  <c r="C3" i="9"/>
  <c r="E5" i="9" l="1"/>
  <c r="G5" i="9"/>
  <c r="D5" i="9"/>
  <c r="F5" i="9"/>
  <c r="C5" i="9"/>
  <c r="D24" i="9"/>
  <c r="E24" i="9"/>
  <c r="F24" i="9"/>
  <c r="C24" i="9"/>
  <c r="G24" i="9"/>
  <c r="E13" i="9"/>
  <c r="E19" i="9"/>
  <c r="E18" i="9"/>
  <c r="E16" i="9"/>
  <c r="E15" i="9"/>
  <c r="E20" i="9"/>
  <c r="E17" i="9"/>
  <c r="G25" i="9" l="1"/>
  <c r="F25" i="9"/>
  <c r="D25" i="9"/>
  <c r="C25" i="9"/>
  <c r="E25" i="9"/>
  <c r="E21" i="9"/>
  <c r="C23" i="9"/>
  <c r="F23" i="9"/>
  <c r="E23" i="9"/>
  <c r="D23" i="9"/>
  <c r="G23" i="9"/>
  <c r="G27" i="9"/>
  <c r="F27" i="9"/>
  <c r="E27" i="9"/>
  <c r="D27" i="9"/>
  <c r="C27" i="9"/>
  <c r="D30" i="9"/>
  <c r="C30" i="9"/>
  <c r="G30" i="9"/>
  <c r="F30" i="9"/>
  <c r="E30" i="9"/>
  <c r="F26" i="9"/>
  <c r="G26" i="9"/>
  <c r="E26" i="9"/>
  <c r="D26" i="9"/>
  <c r="C26" i="9"/>
  <c r="F28" i="9"/>
  <c r="E28" i="9"/>
  <c r="D28" i="9"/>
  <c r="C28" i="9"/>
  <c r="G28" i="9"/>
  <c r="E29" i="9"/>
  <c r="D29" i="9"/>
  <c r="C29" i="9"/>
  <c r="G29" i="9"/>
  <c r="F29" i="9"/>
  <c r="G7" i="8" l="1"/>
  <c r="F7" i="8"/>
  <c r="E7" i="8"/>
  <c r="D7" i="8"/>
  <c r="G6" i="8"/>
  <c r="F6" i="8"/>
  <c r="E6" i="8"/>
  <c r="E9" i="8" s="1"/>
  <c r="D6" i="8"/>
  <c r="D9" i="8" s="1"/>
  <c r="C7" i="8"/>
  <c r="C6" i="8"/>
  <c r="C9" i="8" s="1"/>
  <c r="G4" i="8"/>
  <c r="G14" i="8" s="1"/>
  <c r="F4" i="8"/>
  <c r="F14" i="8" s="1"/>
  <c r="E4" i="8"/>
  <c r="D4" i="8"/>
  <c r="G3" i="8"/>
  <c r="G13" i="8" s="1"/>
  <c r="F3" i="8"/>
  <c r="F13" i="8" s="1"/>
  <c r="E3" i="8"/>
  <c r="D3" i="8"/>
  <c r="C3" i="8"/>
  <c r="K6" i="7"/>
  <c r="L6" i="7" s="1"/>
  <c r="I51" i="2"/>
  <c r="J51" i="2" s="1"/>
  <c r="I48" i="2"/>
  <c r="I45" i="2"/>
  <c r="J45" i="2" s="1"/>
  <c r="I44" i="2"/>
  <c r="I43" i="2"/>
  <c r="J43" i="2" s="1"/>
  <c r="I42" i="2"/>
  <c r="J42" i="2" s="1"/>
  <c r="I37" i="2"/>
  <c r="J37" i="2" s="1"/>
  <c r="K37" i="2" s="1"/>
  <c r="I36" i="2"/>
  <c r="J36" i="2" s="1"/>
  <c r="K36" i="2" s="1"/>
  <c r="I34" i="2"/>
  <c r="J34" i="2" s="1"/>
  <c r="I33" i="2"/>
  <c r="J33" i="2" s="1"/>
  <c r="I32" i="2"/>
  <c r="J32" i="2" s="1"/>
  <c r="K32" i="2" s="1"/>
  <c r="I26" i="2"/>
  <c r="J26" i="2" s="1"/>
  <c r="I23" i="2"/>
  <c r="J23" i="2" s="1"/>
  <c r="I22" i="2"/>
  <c r="J22" i="2" s="1"/>
  <c r="I18" i="2"/>
  <c r="J18" i="2" s="1"/>
  <c r="I17" i="2"/>
  <c r="H26" i="2"/>
  <c r="H25" i="2"/>
  <c r="I25" i="2" s="1"/>
  <c r="H24" i="2"/>
  <c r="I24" i="2" s="1"/>
  <c r="J24" i="2" s="1"/>
  <c r="H23" i="2"/>
  <c r="H22" i="2"/>
  <c r="H21" i="2"/>
  <c r="I21" i="2" s="1"/>
  <c r="J21" i="2" s="1"/>
  <c r="H20" i="2"/>
  <c r="I20" i="2" s="1"/>
  <c r="J20" i="2" s="1"/>
  <c r="H18" i="2"/>
  <c r="H17" i="2"/>
  <c r="H16" i="2"/>
  <c r="I16" i="2" s="1"/>
  <c r="J16" i="2" s="1"/>
  <c r="J11" i="2"/>
  <c r="K11" i="2" s="1"/>
  <c r="I11" i="2"/>
  <c r="I9" i="2"/>
  <c r="J9" i="2" s="1"/>
  <c r="K9" i="2" s="1"/>
  <c r="H11" i="2"/>
  <c r="H10" i="2"/>
  <c r="I10" i="2" s="1"/>
  <c r="J10" i="2" s="1"/>
  <c r="H9" i="2"/>
  <c r="I8" i="2"/>
  <c r="J8" i="2" s="1"/>
  <c r="H8" i="2"/>
  <c r="I7" i="2"/>
  <c r="J7" i="2" s="1"/>
  <c r="I5" i="2"/>
  <c r="J5" i="2" s="1"/>
  <c r="G3" i="7"/>
  <c r="G14" i="7" s="1"/>
  <c r="F3" i="7"/>
  <c r="E3" i="7"/>
  <c r="D3" i="7"/>
  <c r="C3" i="7"/>
  <c r="C14" i="7" s="1"/>
  <c r="H6" i="7"/>
  <c r="I6" i="7" s="1"/>
  <c r="J6" i="7" s="1"/>
  <c r="G13" i="7"/>
  <c r="H13" i="7" s="1"/>
  <c r="H8" i="1" s="1"/>
  <c r="F13" i="7"/>
  <c r="F14" i="7" s="1"/>
  <c r="E13" i="7"/>
  <c r="E14" i="7" s="1"/>
  <c r="D13" i="7"/>
  <c r="C13" i="7"/>
  <c r="G9" i="7"/>
  <c r="H9" i="7" s="1"/>
  <c r="I9" i="7" s="1"/>
  <c r="J9" i="7" s="1"/>
  <c r="K9" i="7" s="1"/>
  <c r="L9" i="7" s="1"/>
  <c r="L5" i="1" s="1"/>
  <c r="F9" i="7"/>
  <c r="F10" i="7" s="1"/>
  <c r="E9" i="7"/>
  <c r="D9" i="7"/>
  <c r="G5" i="7"/>
  <c r="G7" i="7" s="1"/>
  <c r="F5" i="7"/>
  <c r="F7" i="7" s="1"/>
  <c r="E5" i="7"/>
  <c r="E7" i="7" s="1"/>
  <c r="D5" i="7"/>
  <c r="D7" i="7" s="1"/>
  <c r="C9" i="7"/>
  <c r="C5" i="7"/>
  <c r="C7" i="7" s="1"/>
  <c r="I22" i="1"/>
  <c r="H12" i="1"/>
  <c r="I9" i="6"/>
  <c r="J9" i="6" s="1"/>
  <c r="K9" i="6" s="1"/>
  <c r="L9" i="6" s="1"/>
  <c r="I8" i="6"/>
  <c r="J8" i="6" s="1"/>
  <c r="K8" i="6" s="1"/>
  <c r="L8" i="6" s="1"/>
  <c r="I7" i="6"/>
  <c r="J7" i="6" s="1"/>
  <c r="K7" i="6" s="1"/>
  <c r="L7" i="6" s="1"/>
  <c r="I6" i="6"/>
  <c r="J6" i="6" s="1"/>
  <c r="K6" i="6" s="1"/>
  <c r="L6" i="6" s="1"/>
  <c r="I5" i="6"/>
  <c r="J5" i="6" s="1"/>
  <c r="K5" i="6" s="1"/>
  <c r="L5" i="6" s="1"/>
  <c r="H9" i="6"/>
  <c r="H8" i="6"/>
  <c r="H7" i="6"/>
  <c r="H6" i="6"/>
  <c r="H5" i="6"/>
  <c r="I4" i="6"/>
  <c r="J4" i="6" s="1"/>
  <c r="K4" i="6" s="1"/>
  <c r="L4" i="6" s="1"/>
  <c r="H4" i="6"/>
  <c r="G18" i="6"/>
  <c r="F18" i="6"/>
  <c r="E18" i="6"/>
  <c r="D18" i="6"/>
  <c r="G17" i="6"/>
  <c r="F17" i="6"/>
  <c r="E17" i="6"/>
  <c r="D17" i="6"/>
  <c r="G16" i="6"/>
  <c r="F16" i="6"/>
  <c r="E16" i="6"/>
  <c r="D16" i="6"/>
  <c r="G15" i="6"/>
  <c r="F15" i="6"/>
  <c r="E15" i="6"/>
  <c r="D15" i="6"/>
  <c r="G14" i="6"/>
  <c r="F14" i="6"/>
  <c r="E14" i="6"/>
  <c r="D14" i="6"/>
  <c r="G13" i="6"/>
  <c r="F13" i="6"/>
  <c r="E13" i="6"/>
  <c r="D13" i="6"/>
  <c r="G10" i="6"/>
  <c r="F10" i="6"/>
  <c r="E10" i="6"/>
  <c r="D10" i="6"/>
  <c r="C10" i="6"/>
  <c r="C27" i="1"/>
  <c r="E10" i="8" l="1"/>
  <c r="D14" i="8"/>
  <c r="E14" i="8"/>
  <c r="C13" i="8"/>
  <c r="D13" i="8"/>
  <c r="D10" i="8"/>
  <c r="E13" i="8"/>
  <c r="C11" i="7"/>
  <c r="E10" i="7"/>
  <c r="D14" i="7"/>
  <c r="C30" i="1"/>
  <c r="K5" i="2"/>
  <c r="L5" i="2" s="1"/>
  <c r="K33" i="2"/>
  <c r="L33" i="2" s="1"/>
  <c r="J48" i="2"/>
  <c r="I13" i="7"/>
  <c r="I8" i="1" s="1"/>
  <c r="I5" i="1"/>
  <c r="J22" i="1"/>
  <c r="J5" i="1"/>
  <c r="K5" i="1"/>
  <c r="I12" i="1"/>
  <c r="H5" i="1"/>
  <c r="D10" i="7"/>
  <c r="E11" i="7"/>
  <c r="F9" i="8"/>
  <c r="F10" i="8" s="1"/>
  <c r="G9" i="8"/>
  <c r="K51" i="2"/>
  <c r="K42" i="2"/>
  <c r="K43" i="2"/>
  <c r="K45" i="2"/>
  <c r="J44" i="2"/>
  <c r="L32" i="2"/>
  <c r="L36" i="2"/>
  <c r="L37" i="2"/>
  <c r="K34" i="2"/>
  <c r="K20" i="2"/>
  <c r="K21" i="2"/>
  <c r="K22" i="2"/>
  <c r="K23" i="2"/>
  <c r="K16" i="2"/>
  <c r="K24" i="2"/>
  <c r="K18" i="2"/>
  <c r="K26" i="2"/>
  <c r="J17" i="2"/>
  <c r="J25" i="2"/>
  <c r="L9" i="2"/>
  <c r="K10" i="2"/>
  <c r="L11" i="2"/>
  <c r="K8" i="2"/>
  <c r="K7" i="2"/>
  <c r="C10" i="7"/>
  <c r="F11" i="7"/>
  <c r="G11" i="7"/>
  <c r="D11" i="7"/>
  <c r="G10" i="7"/>
  <c r="H5" i="7"/>
  <c r="I10" i="6"/>
  <c r="I3" i="1" s="1"/>
  <c r="J10" i="6"/>
  <c r="J3" i="1" s="1"/>
  <c r="K10" i="6"/>
  <c r="K3" i="1" s="1"/>
  <c r="L10" i="6"/>
  <c r="L3" i="1" s="1"/>
  <c r="H10" i="6"/>
  <c r="H3" i="1" s="1"/>
  <c r="J13" i="7" l="1"/>
  <c r="K13" i="7" s="1"/>
  <c r="I3" i="9"/>
  <c r="I4" i="9" s="1"/>
  <c r="I3" i="8"/>
  <c r="H3" i="9"/>
  <c r="H3" i="8"/>
  <c r="L3" i="9"/>
  <c r="L4" i="9" s="1"/>
  <c r="L3" i="8"/>
  <c r="K3" i="9"/>
  <c r="K4" i="9" s="1"/>
  <c r="K3" i="8"/>
  <c r="J3" i="9"/>
  <c r="J4" i="9" s="1"/>
  <c r="J3" i="8"/>
  <c r="K48" i="2"/>
  <c r="K22" i="1"/>
  <c r="H11" i="7"/>
  <c r="H4" i="1"/>
  <c r="J12" i="1"/>
  <c r="G10" i="8"/>
  <c r="L3" i="7"/>
  <c r="J3" i="7"/>
  <c r="H3" i="7"/>
  <c r="K3" i="7"/>
  <c r="I3" i="7"/>
  <c r="L51" i="2"/>
  <c r="L48" i="2"/>
  <c r="L45" i="2"/>
  <c r="L43" i="2"/>
  <c r="L42" i="2"/>
  <c r="K44" i="2"/>
  <c r="L34" i="2"/>
  <c r="L26" i="2"/>
  <c r="L18" i="2"/>
  <c r="L23" i="2"/>
  <c r="L22" i="2"/>
  <c r="L21" i="2"/>
  <c r="K25" i="2"/>
  <c r="L24" i="2"/>
  <c r="K17" i="2"/>
  <c r="L16" i="2"/>
  <c r="L20" i="2"/>
  <c r="L10" i="2"/>
  <c r="L8" i="2"/>
  <c r="L7" i="2"/>
  <c r="I5" i="7"/>
  <c r="H7" i="7"/>
  <c r="J8" i="1" l="1"/>
  <c r="L24" i="9"/>
  <c r="L8" i="9"/>
  <c r="L38" i="3"/>
  <c r="L27" i="9"/>
  <c r="L28" i="9"/>
  <c r="L29" i="9"/>
  <c r="L26" i="9"/>
  <c r="L25" i="9"/>
  <c r="L30" i="9"/>
  <c r="L23" i="9"/>
  <c r="K8" i="9"/>
  <c r="K38" i="3"/>
  <c r="K24" i="9"/>
  <c r="K26" i="9"/>
  <c r="K27" i="9"/>
  <c r="K23" i="9"/>
  <c r="K29" i="9"/>
  <c r="K25" i="9"/>
  <c r="K30" i="9"/>
  <c r="K28" i="9"/>
  <c r="J24" i="9"/>
  <c r="J38" i="3"/>
  <c r="J57" i="3" s="1"/>
  <c r="J8" i="9"/>
  <c r="J25" i="9"/>
  <c r="J30" i="9"/>
  <c r="J29" i="9"/>
  <c r="J28" i="9"/>
  <c r="J26" i="9"/>
  <c r="J23" i="9"/>
  <c r="J27" i="9"/>
  <c r="I8" i="9"/>
  <c r="I38" i="3"/>
  <c r="I24" i="9"/>
  <c r="I25" i="9"/>
  <c r="I26" i="9"/>
  <c r="I29" i="9"/>
  <c r="I30" i="9"/>
  <c r="I27" i="9"/>
  <c r="I28" i="9"/>
  <c r="I23" i="9"/>
  <c r="H6" i="1"/>
  <c r="L13" i="7"/>
  <c r="L8" i="1" s="1"/>
  <c r="K8" i="1"/>
  <c r="K12" i="1"/>
  <c r="L22" i="1"/>
  <c r="I11" i="7"/>
  <c r="I4" i="1"/>
  <c r="L44" i="2"/>
  <c r="L25" i="2"/>
  <c r="L17" i="2"/>
  <c r="J5" i="7"/>
  <c r="I7" i="7"/>
  <c r="I6" i="1" l="1"/>
  <c r="I4" i="8" s="1"/>
  <c r="H4" i="8"/>
  <c r="L12" i="1"/>
  <c r="J11" i="7"/>
  <c r="J4" i="1"/>
  <c r="K5" i="7"/>
  <c r="J7" i="7"/>
  <c r="K11" i="7" l="1"/>
  <c r="K4" i="1"/>
  <c r="J6" i="1"/>
  <c r="J4" i="8" s="1"/>
  <c r="L5" i="7"/>
  <c r="L4" i="1" s="1"/>
  <c r="L6" i="1" s="1"/>
  <c r="L4" i="8" s="1"/>
  <c r="K7" i="7"/>
  <c r="K6" i="1" l="1"/>
  <c r="K4" i="8" s="1"/>
  <c r="L7" i="7"/>
  <c r="L11" i="7"/>
  <c r="G32" i="3" l="1"/>
  <c r="F32" i="3"/>
  <c r="E32" i="3"/>
  <c r="D32" i="3"/>
  <c r="C32" i="3"/>
  <c r="G27" i="2"/>
  <c r="F27" i="2"/>
  <c r="E27" i="2"/>
  <c r="D27" i="2"/>
  <c r="C27" i="2"/>
  <c r="G13" i="2"/>
  <c r="F13" i="2"/>
  <c r="E13" i="2"/>
  <c r="D13" i="2"/>
  <c r="C13" i="2"/>
  <c r="H7" i="1"/>
  <c r="C6" i="1"/>
  <c r="G13" i="4"/>
  <c r="F13" i="4"/>
  <c r="E13" i="4"/>
  <c r="D13" i="4"/>
  <c r="C13" i="4"/>
  <c r="L12" i="4"/>
  <c r="K12" i="4"/>
  <c r="J12" i="4"/>
  <c r="I12" i="4"/>
  <c r="H12" i="4"/>
  <c r="G12" i="4"/>
  <c r="F12" i="4"/>
  <c r="E12" i="4"/>
  <c r="D12" i="4"/>
  <c r="C12" i="4"/>
  <c r="C7" i="1" l="1"/>
  <c r="C4" i="8"/>
  <c r="C14" i="8" s="1"/>
  <c r="K7" i="1"/>
  <c r="I7" i="1"/>
  <c r="J7" i="1"/>
  <c r="L7" i="1"/>
  <c r="F46" i="2" l="1"/>
  <c r="E46" i="2"/>
  <c r="D46" i="2"/>
  <c r="C46" i="2"/>
  <c r="F76" i="3" l="1"/>
  <c r="E76" i="3"/>
  <c r="D76" i="3"/>
  <c r="C76" i="3"/>
  <c r="G76" i="3"/>
  <c r="H74" i="3" s="1"/>
  <c r="F57" i="3"/>
  <c r="E57" i="3"/>
  <c r="D57" i="3"/>
  <c r="C57" i="3"/>
  <c r="L57" i="3"/>
  <c r="K57" i="3"/>
  <c r="I57" i="3"/>
  <c r="G57" i="3"/>
  <c r="F21" i="3"/>
  <c r="E21" i="3"/>
  <c r="E33" i="3" s="1"/>
  <c r="D21" i="3"/>
  <c r="C21" i="3"/>
  <c r="G21" i="3"/>
  <c r="F50" i="2"/>
  <c r="F52" i="2" s="1"/>
  <c r="E50" i="2"/>
  <c r="E52" i="2" s="1"/>
  <c r="E8" i="4" s="1"/>
  <c r="D50" i="2"/>
  <c r="D52" i="2" s="1"/>
  <c r="D8" i="4" s="1"/>
  <c r="C50" i="2"/>
  <c r="C52" i="2" s="1"/>
  <c r="C8" i="4" s="1"/>
  <c r="G50" i="2"/>
  <c r="G52" i="2" s="1"/>
  <c r="G46" i="2"/>
  <c r="F38" i="2"/>
  <c r="E38" i="2"/>
  <c r="D38" i="2"/>
  <c r="C38" i="2"/>
  <c r="G38" i="2"/>
  <c r="G4" i="4" s="1"/>
  <c r="G28" i="2"/>
  <c r="E4" i="4"/>
  <c r="C4" i="4"/>
  <c r="L9" i="1"/>
  <c r="K9" i="1"/>
  <c r="L16" i="4"/>
  <c r="K16" i="4"/>
  <c r="J16" i="4"/>
  <c r="I16" i="4"/>
  <c r="H16" i="4"/>
  <c r="G16" i="4"/>
  <c r="G33" i="3" l="1"/>
  <c r="G8" i="4"/>
  <c r="G53" i="2"/>
  <c r="G55" i="2" s="1"/>
  <c r="C6" i="4"/>
  <c r="C5" i="4"/>
  <c r="D5" i="4"/>
  <c r="D6" i="4"/>
  <c r="D4" i="4"/>
  <c r="G6" i="4"/>
  <c r="G5" i="4"/>
  <c r="E6" i="4"/>
  <c r="E5" i="4"/>
  <c r="F5" i="4"/>
  <c r="F6" i="4"/>
  <c r="F4" i="4"/>
  <c r="F8" i="4"/>
  <c r="F53" i="2"/>
  <c r="G9" i="4"/>
  <c r="G25" i="4"/>
  <c r="G14" i="4"/>
  <c r="G24" i="4" s="1"/>
  <c r="D16" i="4"/>
  <c r="E16" i="4"/>
  <c r="F16" i="4"/>
  <c r="H9" i="1"/>
  <c r="I9" i="1"/>
  <c r="C9" i="1"/>
  <c r="C16" i="4"/>
  <c r="J9" i="1"/>
  <c r="C33" i="3"/>
  <c r="C53" i="2"/>
  <c r="C28" i="2"/>
  <c r="C55" i="2" s="1"/>
  <c r="D33" i="3"/>
  <c r="D53" i="2"/>
  <c r="D28" i="2"/>
  <c r="D55" i="2" s="1"/>
  <c r="E53" i="2"/>
  <c r="E28" i="2"/>
  <c r="E55" i="2" s="1"/>
  <c r="F33" i="3"/>
  <c r="F28" i="2"/>
  <c r="F55" i="2" s="1"/>
  <c r="C11" i="1" l="1"/>
  <c r="E9" i="4"/>
  <c r="E14" i="4"/>
  <c r="E24" i="4" s="1"/>
  <c r="E25" i="4"/>
  <c r="D9" i="4"/>
  <c r="D14" i="4"/>
  <c r="D24" i="4" s="1"/>
  <c r="D25" i="4"/>
  <c r="F25" i="4"/>
  <c r="F9" i="4"/>
  <c r="F14" i="4"/>
  <c r="F24" i="4" s="1"/>
  <c r="C25" i="4"/>
  <c r="C14" i="4"/>
  <c r="C24" i="4" s="1"/>
  <c r="C9" i="4"/>
  <c r="D17" i="4"/>
  <c r="D21" i="4"/>
  <c r="D10" i="4"/>
  <c r="C21" i="4" l="1"/>
  <c r="E17" i="4"/>
  <c r="E21" i="4"/>
  <c r="F17" i="4"/>
  <c r="G10" i="4"/>
  <c r="C10" i="4"/>
  <c r="C17" i="4"/>
  <c r="G17" i="4"/>
  <c r="G21" i="4"/>
  <c r="F21" i="4"/>
  <c r="F10" i="4"/>
  <c r="C14" i="1"/>
  <c r="E10" i="4"/>
  <c r="C19" i="1" l="1"/>
  <c r="C32" i="1" s="1"/>
  <c r="H32" i="1" l="1"/>
  <c r="E19" i="4"/>
  <c r="E18" i="4"/>
  <c r="E23" i="4" s="1"/>
  <c r="E26" i="4" s="1"/>
  <c r="E20" i="4"/>
  <c r="C23" i="1"/>
  <c r="C31" i="1" s="1"/>
  <c r="D20" i="4"/>
  <c r="D19" i="4"/>
  <c r="D18" i="4"/>
  <c r="D23" i="4" s="1"/>
  <c r="D26" i="4" s="1"/>
  <c r="I32" i="1" l="1"/>
  <c r="C5" i="15"/>
  <c r="J32" i="1"/>
  <c r="G18" i="4"/>
  <c r="G23" i="4" s="1"/>
  <c r="G26" i="4" s="1"/>
  <c r="G20" i="4"/>
  <c r="G19" i="4"/>
  <c r="C19" i="4"/>
  <c r="C25" i="1"/>
  <c r="C18" i="4"/>
  <c r="C23" i="4" s="1"/>
  <c r="C26" i="4" s="1"/>
  <c r="C20" i="4"/>
  <c r="F20" i="4"/>
  <c r="F19" i="4"/>
  <c r="F18" i="4"/>
  <c r="F23" i="4" s="1"/>
  <c r="F26" i="4" s="1"/>
  <c r="K32" i="1" l="1"/>
  <c r="L32" i="1" l="1"/>
  <c r="H6" i="8" l="1"/>
  <c r="H7" i="8"/>
  <c r="H27" i="3" s="1"/>
  <c r="H24" i="3" l="1"/>
  <c r="H6" i="2"/>
  <c r="H31" i="2"/>
  <c r="H10" i="8"/>
  <c r="I6" i="8"/>
  <c r="J6" i="8"/>
  <c r="K6" i="8"/>
  <c r="L6" i="8"/>
  <c r="L6" i="2" s="1"/>
  <c r="I7" i="8"/>
  <c r="I27" i="3" s="1"/>
  <c r="J7" i="8"/>
  <c r="J27" i="3" s="1"/>
  <c r="K7" i="8"/>
  <c r="K27" i="3" s="1"/>
  <c r="L7" i="8"/>
  <c r="L9" i="8"/>
  <c r="L31" i="2" l="1"/>
  <c r="L27" i="3"/>
  <c r="K24" i="3"/>
  <c r="J6" i="2"/>
  <c r="J24" i="3"/>
  <c r="I6" i="2"/>
  <c r="L24" i="3"/>
  <c r="K6" i="2"/>
  <c r="I24" i="3"/>
  <c r="I9" i="8"/>
  <c r="I10" i="8" s="1"/>
  <c r="I31" i="2"/>
  <c r="K9" i="8"/>
  <c r="L10" i="8" s="1"/>
  <c r="K31" i="2"/>
  <c r="L13" i="4"/>
  <c r="J9" i="8"/>
  <c r="J31" i="2"/>
  <c r="H13" i="4"/>
  <c r="H4" i="9"/>
  <c r="H38" i="3" s="1"/>
  <c r="H57" i="3" s="1"/>
  <c r="K10" i="8" l="1"/>
  <c r="J10" i="8"/>
  <c r="J13" i="4"/>
  <c r="I13" i="4"/>
  <c r="K13" i="4"/>
  <c r="H8" i="9"/>
  <c r="H24" i="9"/>
  <c r="D44" i="9" s="1" a="1"/>
  <c r="H28" i="9"/>
  <c r="D80" i="9" s="1" a="1"/>
  <c r="H25" i="9"/>
  <c r="D53" i="9" s="1" a="1"/>
  <c r="H26" i="9"/>
  <c r="D62" i="9" s="1" a="1"/>
  <c r="H30" i="9"/>
  <c r="D98" i="9" s="1" a="1"/>
  <c r="H23" i="9"/>
  <c r="D35" i="9" s="1" a="1"/>
  <c r="H27" i="9"/>
  <c r="H29" i="9"/>
  <c r="D89" i="9" s="1" a="1"/>
  <c r="D71" i="9" l="1"/>
  <c r="D73" i="9"/>
  <c r="D75" i="9"/>
  <c r="L75" i="9" s="1"/>
  <c r="D74" i="9"/>
  <c r="D72" i="9"/>
  <c r="D98" i="9"/>
  <c r="D100" i="9"/>
  <c r="D99" i="9"/>
  <c r="D101" i="9"/>
  <c r="D102" i="9"/>
  <c r="L102" i="9" s="1"/>
  <c r="D62" i="9"/>
  <c r="D66" i="9"/>
  <c r="L66" i="9" s="1"/>
  <c r="D65" i="9"/>
  <c r="D64" i="9"/>
  <c r="D63" i="9"/>
  <c r="D53" i="9"/>
  <c r="D57" i="9"/>
  <c r="L57" i="9" s="1"/>
  <c r="D56" i="9"/>
  <c r="D55" i="9"/>
  <c r="D54" i="9"/>
  <c r="D82" i="9"/>
  <c r="D80" i="9"/>
  <c r="D81" i="9"/>
  <c r="D84" i="9"/>
  <c r="L84" i="9" s="1"/>
  <c r="D83" i="9"/>
  <c r="D91" i="9"/>
  <c r="D92" i="9"/>
  <c r="D93" i="9"/>
  <c r="L93" i="9" s="1"/>
  <c r="D89" i="9"/>
  <c r="D90" i="9"/>
  <c r="D46" i="9"/>
  <c r="D45" i="9"/>
  <c r="D48" i="9"/>
  <c r="L48" i="9" s="1"/>
  <c r="D47" i="9"/>
  <c r="D44" i="9"/>
  <c r="D36" i="9"/>
  <c r="D35" i="9"/>
  <c r="D39" i="9"/>
  <c r="L39" i="9" s="1"/>
  <c r="D38" i="9"/>
  <c r="D37" i="9"/>
  <c r="K53" i="9" l="1"/>
  <c r="I53" i="9"/>
  <c r="L53" i="9"/>
  <c r="J53" i="9"/>
  <c r="H53" i="9"/>
  <c r="H58" i="9" s="1"/>
  <c r="K46" i="9"/>
  <c r="L46" i="9"/>
  <c r="J46" i="9"/>
  <c r="L100" i="9"/>
  <c r="K100" i="9"/>
  <c r="J100" i="9"/>
  <c r="J98" i="9"/>
  <c r="I98" i="9"/>
  <c r="L98" i="9"/>
  <c r="H98" i="9"/>
  <c r="H103" i="9" s="1"/>
  <c r="K98" i="9"/>
  <c r="K82" i="9"/>
  <c r="L82" i="9"/>
  <c r="J82" i="9"/>
  <c r="K45" i="9"/>
  <c r="L45" i="9"/>
  <c r="J45" i="9"/>
  <c r="I45" i="9"/>
  <c r="L99" i="9"/>
  <c r="J99" i="9"/>
  <c r="I99" i="9"/>
  <c r="K99" i="9"/>
  <c r="I63" i="9"/>
  <c r="L63" i="9"/>
  <c r="K63" i="9"/>
  <c r="J63" i="9"/>
  <c r="K64" i="9"/>
  <c r="L64" i="9"/>
  <c r="J64" i="9"/>
  <c r="I89" i="9"/>
  <c r="H89" i="9"/>
  <c r="H94" i="9" s="1"/>
  <c r="K89" i="9"/>
  <c r="L89" i="9"/>
  <c r="J89" i="9"/>
  <c r="K65" i="9"/>
  <c r="L65" i="9"/>
  <c r="I54" i="9"/>
  <c r="K54" i="9"/>
  <c r="J54" i="9"/>
  <c r="L54" i="9"/>
  <c r="K74" i="9"/>
  <c r="L74" i="9"/>
  <c r="K92" i="9"/>
  <c r="L92" i="9"/>
  <c r="L55" i="9"/>
  <c r="J55" i="9"/>
  <c r="K55" i="9"/>
  <c r="H62" i="9"/>
  <c r="H67" i="9" s="1"/>
  <c r="I62" i="9"/>
  <c r="I67" i="9" s="1"/>
  <c r="L62" i="9"/>
  <c r="J62" i="9"/>
  <c r="K62" i="9"/>
  <c r="L56" i="9"/>
  <c r="K56" i="9"/>
  <c r="J73" i="9"/>
  <c r="K73" i="9"/>
  <c r="L73" i="9"/>
  <c r="K81" i="9"/>
  <c r="L81" i="9"/>
  <c r="J81" i="9"/>
  <c r="I81" i="9"/>
  <c r="L90" i="9"/>
  <c r="J90" i="9"/>
  <c r="I90" i="9"/>
  <c r="K90" i="9"/>
  <c r="J80" i="9"/>
  <c r="I80" i="9"/>
  <c r="L80" i="9"/>
  <c r="K80" i="9"/>
  <c r="H80" i="9"/>
  <c r="H85" i="9" s="1"/>
  <c r="K72" i="9"/>
  <c r="J72" i="9"/>
  <c r="I72" i="9"/>
  <c r="L72" i="9"/>
  <c r="L44" i="9"/>
  <c r="H44" i="9"/>
  <c r="H49" i="9" s="1"/>
  <c r="I44" i="9"/>
  <c r="K44" i="9"/>
  <c r="J44" i="9"/>
  <c r="K47" i="9"/>
  <c r="L47" i="9"/>
  <c r="J91" i="9"/>
  <c r="L91" i="9"/>
  <c r="K91" i="9"/>
  <c r="K83" i="9"/>
  <c r="L83" i="9"/>
  <c r="K101" i="9"/>
  <c r="L101" i="9"/>
  <c r="I71" i="9"/>
  <c r="L71" i="9"/>
  <c r="J71" i="9"/>
  <c r="K71" i="9"/>
  <c r="H71" i="9"/>
  <c r="H76" i="9" s="1"/>
  <c r="J37" i="9"/>
  <c r="K37" i="9"/>
  <c r="L37" i="9"/>
  <c r="K35" i="9"/>
  <c r="I35" i="9"/>
  <c r="H35" i="9"/>
  <c r="H40" i="9" s="1"/>
  <c r="L35" i="9"/>
  <c r="J35" i="9"/>
  <c r="J36" i="9"/>
  <c r="I36" i="9"/>
  <c r="L36" i="9"/>
  <c r="K36" i="9"/>
  <c r="L38" i="9"/>
  <c r="K38" i="9"/>
  <c r="L76" i="9" l="1"/>
  <c r="I85" i="9"/>
  <c r="J85" i="9"/>
  <c r="L67" i="9"/>
  <c r="J103" i="9"/>
  <c r="I103" i="9"/>
  <c r="H104" i="9"/>
  <c r="H9" i="9" s="1"/>
  <c r="I76" i="9"/>
  <c r="J76" i="9"/>
  <c r="L49" i="9"/>
  <c r="J67" i="9"/>
  <c r="K103" i="9"/>
  <c r="J94" i="9"/>
  <c r="L103" i="9"/>
  <c r="K94" i="9"/>
  <c r="J49" i="9"/>
  <c r="J58" i="9"/>
  <c r="L94" i="9"/>
  <c r="K49" i="9"/>
  <c r="I94" i="9"/>
  <c r="L58" i="9"/>
  <c r="I49" i="9"/>
  <c r="K85" i="9"/>
  <c r="I58" i="9"/>
  <c r="L40" i="9"/>
  <c r="K76" i="9"/>
  <c r="L85" i="9"/>
  <c r="K67" i="9"/>
  <c r="K58" i="9"/>
  <c r="J40" i="9"/>
  <c r="I40" i="9"/>
  <c r="K40" i="9"/>
  <c r="H11" i="9" l="1"/>
  <c r="H15" i="2" s="1"/>
  <c r="H27" i="2" s="1"/>
  <c r="H10" i="1"/>
  <c r="H6" i="3"/>
  <c r="I104" i="9"/>
  <c r="I9" i="9" s="1"/>
  <c r="K104" i="9"/>
  <c r="K9" i="9" s="1"/>
  <c r="J104" i="9"/>
  <c r="J9" i="9" s="1"/>
  <c r="L104" i="9"/>
  <c r="L9" i="9" s="1"/>
  <c r="I7" i="9" l="1"/>
  <c r="I11" i="9" s="1"/>
  <c r="I10" i="1"/>
  <c r="I6" i="3"/>
  <c r="J10" i="1"/>
  <c r="J6" i="3"/>
  <c r="K6" i="3"/>
  <c r="K10" i="1"/>
  <c r="L10" i="1"/>
  <c r="L6" i="3"/>
  <c r="H11" i="1"/>
  <c r="I15" i="2" l="1"/>
  <c r="I27" i="2" s="1"/>
  <c r="J7" i="9"/>
  <c r="J11" i="9" s="1"/>
  <c r="J15" i="2" s="1"/>
  <c r="L11" i="1"/>
  <c r="K11" i="1"/>
  <c r="H17" i="4"/>
  <c r="J11" i="1"/>
  <c r="I11" i="1"/>
  <c r="J27" i="2" l="1"/>
  <c r="K7" i="9"/>
  <c r="K11" i="9" s="1"/>
  <c r="K15" i="2" s="1"/>
  <c r="J17" i="4"/>
  <c r="L17" i="4"/>
  <c r="K17" i="4"/>
  <c r="I17" i="4"/>
  <c r="K27" i="2" l="1"/>
  <c r="L7" i="9"/>
  <c r="L11" i="9" s="1"/>
  <c r="L15" i="2" s="1"/>
  <c r="L27" i="2" s="1"/>
  <c r="H10" i="4" l="1"/>
  <c r="H14" i="1"/>
  <c r="H19" i="1" l="1"/>
  <c r="H21" i="1" l="1"/>
  <c r="H23" i="1" s="1"/>
  <c r="H29" i="1" s="1"/>
  <c r="H30" i="1" s="1"/>
  <c r="H27" i="1" s="1"/>
  <c r="H31" i="3" l="1"/>
  <c r="H32" i="3" s="1"/>
  <c r="H10" i="3"/>
  <c r="H25" i="1"/>
  <c r="H49" i="2" s="1"/>
  <c r="H18" i="4"/>
  <c r="H23" i="4" s="1"/>
  <c r="H31" i="1"/>
  <c r="H61" i="3"/>
  <c r="H72" i="3" s="1"/>
  <c r="H4" i="3" l="1"/>
  <c r="H21" i="3" s="1"/>
  <c r="H33" i="3" s="1"/>
  <c r="H50" i="2"/>
  <c r="H52" i="2" l="1"/>
  <c r="H8" i="4" l="1"/>
  <c r="H20" i="4"/>
  <c r="J10" i="4"/>
  <c r="I10" i="4"/>
  <c r="L10" i="4"/>
  <c r="K10" i="4"/>
  <c r="K14" i="1"/>
  <c r="J14" i="1"/>
  <c r="I14" i="1"/>
  <c r="I19" i="1" s="1"/>
  <c r="L14" i="1"/>
  <c r="L19" i="1" s="1"/>
  <c r="L21" i="1" s="1"/>
  <c r="L31" i="3" s="1"/>
  <c r="L32" i="3" l="1"/>
  <c r="K19" i="1"/>
  <c r="J19" i="1"/>
  <c r="I21" i="1"/>
  <c r="I31" i="3" s="1"/>
  <c r="L10" i="3"/>
  <c r="K21" i="1"/>
  <c r="L23" i="1"/>
  <c r="K31" i="3" l="1"/>
  <c r="K32" i="3" s="1"/>
  <c r="I10" i="3"/>
  <c r="I32" i="3"/>
  <c r="I23" i="1"/>
  <c r="L25" i="1"/>
  <c r="L4" i="3" s="1"/>
  <c r="L21" i="3" s="1"/>
  <c r="L33" i="3" s="1"/>
  <c r="L29" i="1"/>
  <c r="L18" i="4"/>
  <c r="L23" i="4" s="1"/>
  <c r="K10" i="3"/>
  <c r="K23" i="1"/>
  <c r="J21" i="1"/>
  <c r="J23" i="1" l="1"/>
  <c r="J18" i="4" s="1"/>
  <c r="J23" i="4" s="1"/>
  <c r="J31" i="3"/>
  <c r="J32" i="3" s="1"/>
  <c r="I18" i="4"/>
  <c r="I23" i="4" s="1"/>
  <c r="I25" i="1"/>
  <c r="I29" i="1"/>
  <c r="I30" i="1" s="1"/>
  <c r="I27" i="1" s="1"/>
  <c r="J10" i="3"/>
  <c r="K25" i="1"/>
  <c r="K4" i="3" s="1"/>
  <c r="K21" i="3" s="1"/>
  <c r="K33" i="3" s="1"/>
  <c r="K29" i="1"/>
  <c r="K18" i="4"/>
  <c r="K23" i="4" s="1"/>
  <c r="J25" i="1" l="1"/>
  <c r="J4" i="3" s="1"/>
  <c r="J21" i="3" s="1"/>
  <c r="J33" i="3" s="1"/>
  <c r="J29" i="1"/>
  <c r="I31" i="1"/>
  <c r="J30" i="1" s="1"/>
  <c r="J27" i="1" s="1"/>
  <c r="I61" i="3"/>
  <c r="I72" i="3" s="1"/>
  <c r="I49" i="2"/>
  <c r="I4" i="3"/>
  <c r="I21" i="3" s="1"/>
  <c r="I33" i="3" s="1"/>
  <c r="J49" i="2" l="1"/>
  <c r="I50" i="2"/>
  <c r="J61" i="3"/>
  <c r="J72" i="3" s="1"/>
  <c r="J31" i="1"/>
  <c r="K30" i="1" s="1"/>
  <c r="K27" i="1" s="1"/>
  <c r="K31" i="1" l="1"/>
  <c r="L30" i="1" s="1"/>
  <c r="L27" i="1" s="1"/>
  <c r="K61" i="3"/>
  <c r="K72" i="3" s="1"/>
  <c r="I52" i="2"/>
  <c r="J50" i="2"/>
  <c r="K49" i="2"/>
  <c r="L49" i="2" l="1"/>
  <c r="K50" i="2"/>
  <c r="L61" i="3"/>
  <c r="L72" i="3" s="1"/>
  <c r="L31" i="1"/>
  <c r="J52" i="2"/>
  <c r="I8" i="4"/>
  <c r="I20" i="4"/>
  <c r="J8" i="4" l="1"/>
  <c r="J20" i="4"/>
  <c r="L50" i="2"/>
  <c r="K52" i="2"/>
  <c r="K8" i="4" l="1"/>
  <c r="K20" i="4"/>
  <c r="L52" i="2"/>
  <c r="L8" i="4" l="1"/>
  <c r="L20" i="4"/>
  <c r="H46" i="2"/>
  <c r="L46" i="2"/>
  <c r="I46" i="2"/>
  <c r="K46" i="2"/>
  <c r="J46" i="2"/>
  <c r="H38" i="2" l="1"/>
  <c r="H53" i="2" s="1"/>
  <c r="H73" i="3"/>
  <c r="H76" i="3" s="1"/>
  <c r="H4" i="2" s="1"/>
  <c r="I74" i="3" l="1"/>
  <c r="H6" i="4" l="1"/>
  <c r="H5" i="4"/>
  <c r="H13" i="2"/>
  <c r="H4" i="4" l="1"/>
  <c r="H28" i="2"/>
  <c r="H21" i="4" l="1"/>
  <c r="H55" i="2"/>
  <c r="H14" i="4"/>
  <c r="H24" i="4" s="1"/>
  <c r="H19" i="4"/>
  <c r="H9" i="4"/>
  <c r="H25" i="4"/>
  <c r="H26" i="4" l="1"/>
  <c r="L38" i="2"/>
  <c r="L53" i="2" s="1"/>
  <c r="K38" i="2"/>
  <c r="I38" i="2"/>
  <c r="I53" i="2" s="1"/>
  <c r="J38" i="2"/>
  <c r="J53" i="2" s="1"/>
  <c r="L73" i="3"/>
  <c r="I73" i="3"/>
  <c r="I76" i="3" s="1"/>
  <c r="I4" i="2" s="1"/>
  <c r="J73" i="3"/>
  <c r="K73" i="3"/>
  <c r="J74" i="3" l="1"/>
  <c r="J76" i="3" s="1"/>
  <c r="J4" i="2" s="1"/>
  <c r="K53" i="2"/>
  <c r="I5" i="4" l="1"/>
  <c r="I13" i="2"/>
  <c r="I6" i="4"/>
  <c r="K74" i="3"/>
  <c r="K76" i="3" s="1"/>
  <c r="K4" i="2" s="1"/>
  <c r="I4" i="4" l="1"/>
  <c r="I28" i="2"/>
  <c r="J6" i="4"/>
  <c r="J5" i="4"/>
  <c r="J13" i="2"/>
  <c r="L74" i="3"/>
  <c r="L76" i="3" s="1"/>
  <c r="L4" i="2" s="1"/>
  <c r="L5" i="4" l="1"/>
  <c r="L6" i="4"/>
  <c r="L13" i="2"/>
  <c r="I21" i="4"/>
  <c r="I9" i="4"/>
  <c r="I25" i="4"/>
  <c r="I19" i="4"/>
  <c r="I14" i="4"/>
  <c r="I24" i="4" s="1"/>
  <c r="I55" i="2"/>
  <c r="K6" i="4"/>
  <c r="K5" i="4"/>
  <c r="K13" i="2"/>
  <c r="J4" i="4"/>
  <c r="J28" i="2"/>
  <c r="L28" i="2" l="1"/>
  <c r="L4" i="4"/>
  <c r="K4" i="4"/>
  <c r="K28" i="2"/>
  <c r="J21" i="4"/>
  <c r="J14" i="4"/>
  <c r="J24" i="4" s="1"/>
  <c r="J25" i="4"/>
  <c r="J19" i="4"/>
  <c r="J55" i="2"/>
  <c r="J9" i="4"/>
  <c r="I26" i="4"/>
  <c r="L19" i="4" l="1"/>
  <c r="L55" i="2"/>
  <c r="L21" i="4"/>
  <c r="L9" i="4"/>
  <c r="L14" i="4"/>
  <c r="L24" i="4" s="1"/>
  <c r="L25" i="4"/>
  <c r="K21" i="4"/>
  <c r="K55" i="2"/>
  <c r="K19" i="4"/>
  <c r="K25" i="4"/>
  <c r="K14" i="4"/>
  <c r="K24" i="4" s="1"/>
  <c r="K9" i="4"/>
  <c r="J26" i="4"/>
  <c r="L26" i="4" l="1"/>
  <c r="K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H13" authorId="0" shapeId="0" xr:uid="{38C2D4F7-4996-4AAA-80CD-1580DC4BB723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Interest expenses are purely on Lease Libilities only
</t>
        </r>
      </text>
    </comment>
    <comment ref="I13" authorId="0" shapeId="0" xr:uid="{7EFA6AA9-133F-4A32-9E6F-0DA1D168281D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Interest expenses are purely on Lease Libilities only
</t>
        </r>
      </text>
    </comment>
    <comment ref="J13" authorId="0" shapeId="0" xr:uid="{B20105DB-C9B0-41FD-8B00-074A4C1B04C7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Interest expenses are purely on Lease Libilities only
</t>
        </r>
      </text>
    </comment>
    <comment ref="K13" authorId="0" shapeId="0" xr:uid="{4271CED9-2F9B-44AF-A3C6-E4820CCDF8B8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Interest expenses are purely on Lease Libilities only
</t>
        </r>
      </text>
    </comment>
    <comment ref="L13" authorId="0" shapeId="0" xr:uid="{D452B1AD-28B6-46E4-8F35-6E5EF751322C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Interest expenses are purely on Lease Libilities only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H9" authorId="0" shapeId="0" xr:uid="{17AA000F-2426-418D-9D33-1505A2B7239F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Company is following Stright line method.
</t>
        </r>
      </text>
    </comment>
    <comment ref="I9" authorId="0" shapeId="0" xr:uid="{AA82C976-3BD0-41E4-8504-473FEFEC188F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Company is following Stright line method.
</t>
        </r>
      </text>
    </comment>
    <comment ref="J9" authorId="0" shapeId="0" xr:uid="{B4FF8958-94FA-40DA-8916-A8AE11CE6CF8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Company is following Stright line method.
</t>
        </r>
      </text>
    </comment>
    <comment ref="K9" authorId="0" shapeId="0" xr:uid="{E060082A-CC10-4B0D-B9A6-6D9A50046D6D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Company is following Stright line method.
</t>
        </r>
      </text>
    </comment>
    <comment ref="L9" authorId="0" shapeId="0" xr:uid="{8D4F2C1B-6E68-4458-81B6-CA5B8FCBB5CC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Company is following Stright line method.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28" authorId="0" shapeId="0" xr:uid="{4FC3096F-02CD-48D6-9AEB-BA11019B5BBE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10 year govt bond yield.
</t>
        </r>
      </text>
    </comment>
    <comment ref="M32" authorId="0" shapeId="0" xr:uid="{0E10965B-1E19-49B6-8A57-353A6EB6FCDB}">
      <text>
        <r>
          <rPr>
            <b/>
            <sz val="10"/>
            <color indexed="81"/>
            <rFont val="Tahoma"/>
            <family val="2"/>
          </rPr>
          <t>dell:</t>
        </r>
        <r>
          <rPr>
            <sz val="10"/>
            <color indexed="81"/>
            <rFont val="Tahoma"/>
            <family val="2"/>
          </rPr>
          <t xml:space="preserve">
used CAPM formula
</t>
        </r>
      </text>
    </comment>
  </commentList>
</comments>
</file>

<file path=xl/sharedStrings.xml><?xml version="1.0" encoding="utf-8"?>
<sst xmlns="http://schemas.openxmlformats.org/spreadsheetml/2006/main" count="604" uniqueCount="363">
  <si>
    <t>TATA Consultancy Services Ltd</t>
  </si>
  <si>
    <t>Core Financial Statements</t>
  </si>
  <si>
    <t>Supporting Schedules</t>
  </si>
  <si>
    <t>Valuations</t>
  </si>
  <si>
    <t>Cash Flows</t>
  </si>
  <si>
    <t>Balance Sheet</t>
  </si>
  <si>
    <t>Income Statement</t>
  </si>
  <si>
    <t>Ratio Analysis</t>
  </si>
  <si>
    <t>Revenue Built Up</t>
  </si>
  <si>
    <t>Cost Sheet</t>
  </si>
  <si>
    <t>Working Cap</t>
  </si>
  <si>
    <t>Dep &amp; Capex</t>
  </si>
  <si>
    <t>Debt</t>
  </si>
  <si>
    <t>DCF</t>
  </si>
  <si>
    <t>Relative Valuation</t>
  </si>
  <si>
    <t>TATA Consultncy Services Ltd</t>
  </si>
  <si>
    <t>Historicals</t>
  </si>
  <si>
    <t>Forecasts</t>
  </si>
  <si>
    <t>FY 2022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</si>
  <si>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</si>
  <si>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</si>
  <si>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</si>
  <si>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</si>
  <si>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</si>
  <si>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</si>
  <si>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</si>
  <si>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</si>
  <si>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(All data in ₹ Crore, except per share Information)</t>
  </si>
  <si>
    <t>FY2023</t>
  </si>
  <si>
    <t>Color Codes</t>
  </si>
  <si>
    <t>Blue</t>
  </si>
  <si>
    <t>Black</t>
  </si>
  <si>
    <t>Green</t>
  </si>
  <si>
    <t xml:space="preserve">Revenue </t>
  </si>
  <si>
    <t>Employee Expenses</t>
  </si>
  <si>
    <t>Cost of equipment &amp; software licences</t>
  </si>
  <si>
    <t>Gross Profit</t>
  </si>
  <si>
    <t>Other Expenses</t>
  </si>
  <si>
    <t>EBITDA</t>
  </si>
  <si>
    <t>EBIT</t>
  </si>
  <si>
    <t>Add; Other Income</t>
  </si>
  <si>
    <t>Less; Interest Charges</t>
  </si>
  <si>
    <t>Less; Exceptional Items</t>
  </si>
  <si>
    <t>Re-structuring expenses</t>
  </si>
  <si>
    <t>Statutory impact of new Labour Codes</t>
  </si>
  <si>
    <t>Provision towards legal claim</t>
  </si>
  <si>
    <t>Earning before tax and Exceptional itms</t>
  </si>
  <si>
    <t xml:space="preserve">EBT </t>
  </si>
  <si>
    <t>Less; Tax Expenses</t>
  </si>
  <si>
    <t>Current tax</t>
  </si>
  <si>
    <t>Deferred tax</t>
  </si>
  <si>
    <t>Net Profit</t>
  </si>
  <si>
    <t>Current Assets</t>
  </si>
  <si>
    <t>Cash &amp; Cash Equivalents</t>
  </si>
  <si>
    <t>Other Bank Balances</t>
  </si>
  <si>
    <t>Receivables</t>
  </si>
  <si>
    <t>Investments</t>
  </si>
  <si>
    <t>Loans</t>
  </si>
  <si>
    <t>Other Financial Assets</t>
  </si>
  <si>
    <t>Income tax Assets</t>
  </si>
  <si>
    <t>Other Assets</t>
  </si>
  <si>
    <t>Inventories</t>
  </si>
  <si>
    <t>Total Current Assets</t>
  </si>
  <si>
    <t>Non Current Assets</t>
  </si>
  <si>
    <t>Property, plant and equipment</t>
  </si>
  <si>
    <t>Capital work-in-progress</t>
  </si>
  <si>
    <t>Right-of-use assets</t>
  </si>
  <si>
    <t>Goodwill</t>
  </si>
  <si>
    <t>Other intangible assets</t>
  </si>
  <si>
    <t>Trade receivables</t>
  </si>
  <si>
    <t>Other financial assets</t>
  </si>
  <si>
    <t>Deferred tax assets</t>
  </si>
  <si>
    <t>Income tax assets</t>
  </si>
  <si>
    <t>Other assets</t>
  </si>
  <si>
    <t>Total Non Current Assets</t>
  </si>
  <si>
    <t>Total Assets</t>
  </si>
  <si>
    <t>Current Liabilities</t>
  </si>
  <si>
    <t>Lease liabilities</t>
  </si>
  <si>
    <t>Trade payables</t>
  </si>
  <si>
    <t>Other financial liabilities</t>
  </si>
  <si>
    <t xml:space="preserve">Unearned and deferred revenue </t>
  </si>
  <si>
    <t>Other liabilities</t>
  </si>
  <si>
    <t>Provisions</t>
  </si>
  <si>
    <t>Employee benefit obligations</t>
  </si>
  <si>
    <t>Income tax liabilities</t>
  </si>
  <si>
    <t>Total Current Liabilities</t>
  </si>
  <si>
    <t>Non Current Liabilities</t>
  </si>
  <si>
    <t>Class B compulsorily convertible preference shares</t>
  </si>
  <si>
    <t>Deferred tax liabilities</t>
  </si>
  <si>
    <t>Unearned and deferred revenue</t>
  </si>
  <si>
    <t>Total Non Current Liabilities</t>
  </si>
  <si>
    <t>Equity</t>
  </si>
  <si>
    <t>Share Capital</t>
  </si>
  <si>
    <t>Retained Earnings</t>
  </si>
  <si>
    <t>Non Controlling Interest</t>
  </si>
  <si>
    <t>Total Equity of Company</t>
  </si>
  <si>
    <t>Total Equity</t>
  </si>
  <si>
    <t>Balance Check</t>
  </si>
  <si>
    <t>Total Equity &amp; Liabilities</t>
  </si>
  <si>
    <t>Cash Flow from Operating Activities</t>
  </si>
  <si>
    <t>Net Income</t>
  </si>
  <si>
    <t>Adjustments for;</t>
  </si>
  <si>
    <t>Finance costs</t>
  </si>
  <si>
    <t>Change in Working Capital</t>
  </si>
  <si>
    <t xml:space="preserve">Depreciation and amortisation expense </t>
  </si>
  <si>
    <t>Bad debts, advances written off</t>
  </si>
  <si>
    <t xml:space="preserve">Provision towards Re-structuring expenses </t>
  </si>
  <si>
    <t xml:space="preserve">Tax expense </t>
  </si>
  <si>
    <t xml:space="preserve">Net gain on lease modification </t>
  </si>
  <si>
    <t xml:space="preserve">Net gain on sub-lease </t>
  </si>
  <si>
    <t>Unrealised foreign exchange gain</t>
  </si>
  <si>
    <t xml:space="preserve">Dividend income </t>
  </si>
  <si>
    <t>Net gain on disposal of property, plant and equipment</t>
  </si>
  <si>
    <t>Net gain on disposal / fair valuation of investments</t>
  </si>
  <si>
    <t>Net gain on fair valuation of call option</t>
  </si>
  <si>
    <t>Transaction cost on incorporation of subsidiary</t>
  </si>
  <si>
    <t>Interest income</t>
  </si>
  <si>
    <t>Total</t>
  </si>
  <si>
    <t>Loan &amp; Other Financial Assets</t>
  </si>
  <si>
    <t>Trade Payables</t>
  </si>
  <si>
    <t>Unearned &amp; Deffered revenue</t>
  </si>
  <si>
    <t>Other Financial Liabilities</t>
  </si>
  <si>
    <t>Other Liabilities &amp; Provisions</t>
  </si>
  <si>
    <t>Taxes Paid</t>
  </si>
  <si>
    <t>Total Changes In working Capital</t>
  </si>
  <si>
    <t>Total Cash generated from operating Activities</t>
  </si>
  <si>
    <t>Cash flow from Investing Activities</t>
  </si>
  <si>
    <t>Bank deposits placed</t>
  </si>
  <si>
    <t>Inter-corporate deposits placed</t>
  </si>
  <si>
    <t>Purchase of investments</t>
  </si>
  <si>
    <t>Payment for purchase of property, plant and equipment</t>
  </si>
  <si>
    <t>Payment including advances for acquiring right-of-use assets</t>
  </si>
  <si>
    <t>Payment for purchase of intangible assets</t>
  </si>
  <si>
    <t>Earmarked deposits placed with banks</t>
  </si>
  <si>
    <t>Acquisition of assets</t>
  </si>
  <si>
    <t>Acquisition of subsidiaries</t>
  </si>
  <si>
    <t>Advance towards acquisition of investment</t>
  </si>
  <si>
    <t>Proceeds from bank deposits</t>
  </si>
  <si>
    <t>Proceeds from inter-corporate deposits</t>
  </si>
  <si>
    <t>Proceeds from disposal / redemption of investments</t>
  </si>
  <si>
    <t>Proceeds from sub-lease receivable</t>
  </si>
  <si>
    <t>Proceeds from disposal of property, plant and equipment</t>
  </si>
  <si>
    <t>Proceeds from Earmarked deposits</t>
  </si>
  <si>
    <t>Interest received</t>
  </si>
  <si>
    <t>Dividend received</t>
  </si>
  <si>
    <t>Loan given</t>
  </si>
  <si>
    <t>Loan recovered</t>
  </si>
  <si>
    <t xml:space="preserve">Cash generated from Investing </t>
  </si>
  <si>
    <t>Cash Flow Financing Activities</t>
  </si>
  <si>
    <t>Repayment of lease liabilities</t>
  </si>
  <si>
    <t>Interest paid</t>
  </si>
  <si>
    <t>Dividend paid</t>
  </si>
  <si>
    <t>Dividend paid to non-controlling interests</t>
  </si>
  <si>
    <t>Sale of shares to non-controlling interests</t>
  </si>
  <si>
    <t>Issue of equity shares to non-controlling interests</t>
  </si>
  <si>
    <t>Issue of Class A compulsorily convertible preference shares to non-controlling interests</t>
  </si>
  <si>
    <t>Issue of Class B compulsorily convertible preference shares</t>
  </si>
  <si>
    <t>Net Cash from Financing Activities</t>
  </si>
  <si>
    <t>Net change in cash and cash equivalents</t>
  </si>
  <si>
    <t>Opening Cash balance</t>
  </si>
  <si>
    <t>Foreign Currency</t>
  </si>
  <si>
    <t>Cash Balances at the end of the Year</t>
  </si>
  <si>
    <t>Proceeds from disposal of intangible assets</t>
  </si>
  <si>
    <t>Transfer of funds to buy-back escrow account</t>
  </si>
  <si>
    <t>Transfer of funds from buy-back escrow account</t>
  </si>
  <si>
    <t>Expenses for buy-back of equity shares</t>
  </si>
  <si>
    <t>Tax on buy-back of equity shares</t>
  </si>
  <si>
    <t>Buy-back of equity shares</t>
  </si>
  <si>
    <t>Solvency Ratios</t>
  </si>
  <si>
    <t>Current Ratio</t>
  </si>
  <si>
    <t>Quick Ratio</t>
  </si>
  <si>
    <t>Cash Ratio</t>
  </si>
  <si>
    <t>Liquidity Ratios</t>
  </si>
  <si>
    <t>Debt to Equity</t>
  </si>
  <si>
    <t>Debt to Assets</t>
  </si>
  <si>
    <t>Interest Coverage Ratio</t>
  </si>
  <si>
    <t>Efficiency Ratios</t>
  </si>
  <si>
    <t>Inventory Turnover</t>
  </si>
  <si>
    <t>Asset Turnover</t>
  </si>
  <si>
    <t>Profitability Ratios</t>
  </si>
  <si>
    <t>Return on Assets</t>
  </si>
  <si>
    <t>Return on Equity</t>
  </si>
  <si>
    <t>Return on Capital Invested</t>
  </si>
  <si>
    <t>Payable Turnover</t>
  </si>
  <si>
    <t>Gross Profit Margin</t>
  </si>
  <si>
    <t>Net Profit Margin</t>
  </si>
  <si>
    <t>Operating Profit Margin</t>
  </si>
  <si>
    <t xml:space="preserve">ROE DuPont Analysis </t>
  </si>
  <si>
    <t>Profit Margin</t>
  </si>
  <si>
    <t>Financial Leverage</t>
  </si>
  <si>
    <t>ROE</t>
  </si>
  <si>
    <t>Other Comprehensive Income/Loss</t>
  </si>
  <si>
    <t>Total profit for the year</t>
  </si>
  <si>
    <t xml:space="preserve">Weighted average number of equity shares </t>
  </si>
  <si>
    <t>Earning Per Share (Basic &amp; Diluted) ₹</t>
  </si>
  <si>
    <t>Cost of Services</t>
  </si>
  <si>
    <t>Depreciation</t>
  </si>
  <si>
    <t>Red</t>
  </si>
  <si>
    <t>Total Dividend Paid</t>
  </si>
  <si>
    <t>Dividend Per Share (₹)</t>
  </si>
  <si>
    <t xml:space="preserve">Dividend Pay Out Ratio </t>
  </si>
  <si>
    <t>Per Share Data</t>
  </si>
  <si>
    <t>Tax Rate</t>
  </si>
  <si>
    <t>Segments</t>
  </si>
  <si>
    <t>BFSI</t>
  </si>
  <si>
    <t xml:space="preserve">Manufacturing </t>
  </si>
  <si>
    <t>Consumer Business</t>
  </si>
  <si>
    <t>Communication, Media &amp; Technology</t>
  </si>
  <si>
    <t>Life Sciences &amp; Healthcare</t>
  </si>
  <si>
    <t xml:space="preserve">Others </t>
  </si>
  <si>
    <t>Total Revenue</t>
  </si>
  <si>
    <t>% YoY</t>
  </si>
  <si>
    <t>Inputs &amp; forecast Assumptions</t>
  </si>
  <si>
    <t>fomulas, reference cell on same sheet</t>
  </si>
  <si>
    <t>linked cells from other sheets</t>
  </si>
  <si>
    <t>Cost of Services sold</t>
  </si>
  <si>
    <t>Total Emplyees (Crore)</t>
  </si>
  <si>
    <t>Cost per Employee (Lakh)</t>
  </si>
  <si>
    <t>% of Revenue</t>
  </si>
  <si>
    <t>Revenue</t>
  </si>
  <si>
    <t>Payables</t>
  </si>
  <si>
    <t>Cost of services sold</t>
  </si>
  <si>
    <t>Net Working Capital</t>
  </si>
  <si>
    <t>(Increase)/Decrease in Working Capital</t>
  </si>
  <si>
    <t>Ratios &amp; Assumptions</t>
  </si>
  <si>
    <t>Days sales outstaning</t>
  </si>
  <si>
    <t>Days Payable outstanding</t>
  </si>
  <si>
    <t>Capex</t>
  </si>
  <si>
    <t>Beginning Net PP&amp;E</t>
  </si>
  <si>
    <t>Capital Expenditures</t>
  </si>
  <si>
    <t>(Depreciation Expense)</t>
  </si>
  <si>
    <t>(Asset Sales )</t>
  </si>
  <si>
    <t>Ending Net PP&amp;E</t>
  </si>
  <si>
    <t>Amount</t>
  </si>
  <si>
    <t>Proportion of Assets</t>
  </si>
  <si>
    <t>Buildings</t>
  </si>
  <si>
    <t>Lease hold improvements</t>
  </si>
  <si>
    <t>Plant &amp; Equipment</t>
  </si>
  <si>
    <t>Useful Life Years</t>
  </si>
  <si>
    <t>Computers</t>
  </si>
  <si>
    <t>Vechile</t>
  </si>
  <si>
    <t>Office Equipment</t>
  </si>
  <si>
    <t>Electrical Installations</t>
  </si>
  <si>
    <t>Furniture &amp; Fixtures</t>
  </si>
  <si>
    <t>Total Capex Breakup</t>
  </si>
  <si>
    <t>Strightline Method</t>
  </si>
  <si>
    <t>Useful Life</t>
  </si>
  <si>
    <t>Year</t>
  </si>
  <si>
    <t xml:space="preserve">Capex </t>
  </si>
  <si>
    <t>Useful life</t>
  </si>
  <si>
    <t>PPE (Break-up for FY25)</t>
  </si>
  <si>
    <t>Grosss PPE</t>
  </si>
  <si>
    <t>Buildings Depreciation</t>
  </si>
  <si>
    <t>Lease hold improvements Depreciation</t>
  </si>
  <si>
    <t>Plant &amp; Equipment Depreciation</t>
  </si>
  <si>
    <t>Furniture &amp; Fixtures Depreciation</t>
  </si>
  <si>
    <t>Electrical Installations Depreciation</t>
  </si>
  <si>
    <t>Office Equipment Depreciation</t>
  </si>
  <si>
    <t>Vechile Depreciation</t>
  </si>
  <si>
    <t>Computers Depreciation</t>
  </si>
  <si>
    <t>Total Depreciation Expenses (1+2+3+4+5+6+7+8)</t>
  </si>
  <si>
    <t>Company</t>
  </si>
  <si>
    <t>CMP Rs.</t>
  </si>
  <si>
    <t>TCS</t>
  </si>
  <si>
    <t>Infosys</t>
  </si>
  <si>
    <t>HCL Technologies</t>
  </si>
  <si>
    <t>Wipro</t>
  </si>
  <si>
    <t>Tech Mahindra</t>
  </si>
  <si>
    <t>LTM</t>
  </si>
  <si>
    <t>Persistent Systems</t>
  </si>
  <si>
    <t>Peer Data</t>
  </si>
  <si>
    <t>Market Data</t>
  </si>
  <si>
    <t>Financial Data</t>
  </si>
  <si>
    <t>Valuation</t>
  </si>
  <si>
    <t>Ticker</t>
  </si>
  <si>
    <t>CMP</t>
  </si>
  <si>
    <t>Shares in crore</t>
  </si>
  <si>
    <t>Market Cap</t>
  </si>
  <si>
    <t>Cash</t>
  </si>
  <si>
    <t>EV</t>
  </si>
  <si>
    <t>Sales</t>
  </si>
  <si>
    <t>EV/Sales</t>
  </si>
  <si>
    <t>EV/EBITDA</t>
  </si>
  <si>
    <t>P/E</t>
  </si>
  <si>
    <t>Relative Valauation</t>
  </si>
  <si>
    <t>INFY</t>
  </si>
  <si>
    <t>HCLTECH</t>
  </si>
  <si>
    <t>WIPRO</t>
  </si>
  <si>
    <t>TECHM</t>
  </si>
  <si>
    <t>PERSISTENT</t>
  </si>
  <si>
    <t>Average</t>
  </si>
  <si>
    <t>Median</t>
  </si>
  <si>
    <t>Shares</t>
  </si>
  <si>
    <t>Metric</t>
  </si>
  <si>
    <t>Industry Median</t>
  </si>
  <si>
    <t>Equity Value</t>
  </si>
  <si>
    <t>(All data in ₹ Crore, including per share Information)</t>
  </si>
  <si>
    <t>Implied Share Price</t>
  </si>
  <si>
    <t>(All data in ₹ Crore, includeing per share Information)</t>
  </si>
  <si>
    <t>DCF Valuation</t>
  </si>
  <si>
    <t>Assumptions</t>
  </si>
  <si>
    <t>Transaction Date</t>
  </si>
  <si>
    <t>Financial Year end</t>
  </si>
  <si>
    <t>Discount Rate</t>
  </si>
  <si>
    <t>Growth Rate</t>
  </si>
  <si>
    <t>Shares Outstanding in Crore</t>
  </si>
  <si>
    <t>Sensex Index Data</t>
  </si>
  <si>
    <t>Date</t>
  </si>
  <si>
    <t>Price</t>
  </si>
  <si>
    <t>Period in years</t>
  </si>
  <si>
    <t>Return %</t>
  </si>
  <si>
    <t>WACC Caluation</t>
  </si>
  <si>
    <t>Debt/Equity</t>
  </si>
  <si>
    <t>Debt/Capital</t>
  </si>
  <si>
    <t>Levered Beta</t>
  </si>
  <si>
    <t>Unlevered Beta</t>
  </si>
  <si>
    <t>WACC</t>
  </si>
  <si>
    <t>Industry Mix</t>
  </si>
  <si>
    <t>Proportion of Debt</t>
  </si>
  <si>
    <t>Proportion of Equity</t>
  </si>
  <si>
    <t>Company Mix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</si>
  <si>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</si>
  <si>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</si>
  <si>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</si>
  <si>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</si>
  <si>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</si>
  <si>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</si>
  <si>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</si>
  <si>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</si>
  <si>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</si>
  <si>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</si>
  <si>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Total Lease Liabilities</t>
  </si>
  <si>
    <t>Interest on Leases</t>
  </si>
  <si>
    <t>Interest Rate %</t>
  </si>
  <si>
    <t>Discounted Cash Flows</t>
  </si>
  <si>
    <t>Time Period</t>
  </si>
  <si>
    <t>Yearfrac</t>
  </si>
  <si>
    <t>Entry</t>
  </si>
  <si>
    <t>Exit</t>
  </si>
  <si>
    <t>Less: Taxes</t>
  </si>
  <si>
    <t>NOPAT</t>
  </si>
  <si>
    <t>Add: Depreciation &amp; Amortization</t>
  </si>
  <si>
    <t>Less: Capex</t>
  </si>
  <si>
    <t>Less: Changes in Working Capital</t>
  </si>
  <si>
    <t>Free Cash Flow to Firm</t>
  </si>
  <si>
    <t>Transaction FCFF</t>
  </si>
  <si>
    <t>Terminal Value</t>
  </si>
  <si>
    <t xml:space="preserve">Perpectual </t>
  </si>
  <si>
    <t>Intrinsic Value</t>
  </si>
  <si>
    <t>Enterprise Value</t>
  </si>
  <si>
    <t>Add: Cash &amp; Cash Eq</t>
  </si>
  <si>
    <t>Less: Debt</t>
  </si>
  <si>
    <t>Less: Non-Controlling Interest</t>
  </si>
  <si>
    <t>Implied Share price per Share</t>
  </si>
  <si>
    <t>Current Market Price</t>
  </si>
  <si>
    <t>Upside Potential %</t>
  </si>
  <si>
    <t>Sensitivity Analysis</t>
  </si>
  <si>
    <t>Exit Multiples</t>
  </si>
  <si>
    <t>Perpectual Growth</t>
  </si>
  <si>
    <t>EBIDTA</t>
  </si>
  <si>
    <t>PAT</t>
  </si>
  <si>
    <t>Mar Cap</t>
  </si>
  <si>
    <t>Link from other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</si>
</sst>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0.0"/>
    <numFmt numFmtId="167" formatCode="0.0%"/>
    <numFmt numFmtId="168" formatCode="#,##0;\ \(#,##0\)"/>
    <numFmt numFmtId="169" formatCode="#,##0;\(#,##0\)"/>
    <numFmt numFmtId="170" formatCode="0.0\x"/>
    <numFmt numFmtId="171" formatCode="#,##0.000000000"/>
    <numFmt numFmtId="172" formatCode="0.00\x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5"/>
      <color theme="5" tint="-0.249977111117893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2" fillId="0" borderId="1" xfId="0" applyFont="1" applyBorder="1"/>
    <xf numFmtId="0" fontId="2" fillId="0" borderId="0" xfId="0" applyFont="1"/>
    <xf numFmtId="0" fontId="0" fillId="2" borderId="0" xfId="0" applyFill="1"/>
    <xf numFmtId="0" fontId="4" fillId="2" borderId="0" xfId="0" applyFont="1" applyFill="1"/>
    <xf numFmtId="0" fontId="3" fillId="2" borderId="0" xfId="2" quotePrefix="1" applyFill="1"/>
    <xf numFmtId="0" fontId="0" fillId="2" borderId="0" xfId="0" applyFill="1" applyAlignment="1">
      <alignment horizontal="centerContinuous"/>
    </xf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7" fillId="2" borderId="0" xfId="0" applyFont="1" applyFill="1" applyBorder="1" applyAlignment="1"/>
    <xf numFmtId="0" fontId="0" fillId="3" borderId="0" xfId="0" applyFill="1"/>
    <xf numFmtId="3" fontId="0" fillId="0" borderId="0" xfId="0" applyNumberFormat="1"/>
    <xf numFmtId="0" fontId="0" fillId="0" borderId="0" xfId="0" applyAlignment="1">
      <alignment horizontal="left" indent="1"/>
    </xf>
    <xf numFmtId="3" fontId="2" fillId="0" borderId="0" xfId="0" applyNumberFormat="1" applyFont="1"/>
    <xf numFmtId="3" fontId="9" fillId="0" borderId="0" xfId="0" applyNumberFormat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Continuous"/>
    </xf>
    <xf numFmtId="0" fontId="0" fillId="0" borderId="3" xfId="0" applyBorder="1"/>
    <xf numFmtId="0" fontId="0" fillId="0" borderId="0" xfId="0" applyFont="1"/>
    <xf numFmtId="3" fontId="2" fillId="0" borderId="1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9" fillId="0" borderId="0" xfId="0" applyFont="1"/>
    <xf numFmtId="164" fontId="0" fillId="0" borderId="0" xfId="1" applyNumberFormat="1" applyFont="1"/>
    <xf numFmtId="165" fontId="0" fillId="0" borderId="1" xfId="1" applyNumberFormat="1" applyFont="1" applyBorder="1" applyAlignment="1">
      <alignment horizontal="center"/>
    </xf>
    <xf numFmtId="165" fontId="0" fillId="0" borderId="0" xfId="1" applyNumberFormat="1" applyFont="1"/>
    <xf numFmtId="165" fontId="2" fillId="0" borderId="1" xfId="1" applyNumberFormat="1" applyFont="1" applyBorder="1"/>
    <xf numFmtId="165" fontId="2" fillId="0" borderId="0" xfId="1" applyNumberFormat="1" applyFont="1"/>
    <xf numFmtId="165" fontId="2" fillId="0" borderId="3" xfId="1" applyNumberFormat="1" applyFont="1" applyBorder="1"/>
    <xf numFmtId="165" fontId="2" fillId="0" borderId="0" xfId="1" applyNumberFormat="1" applyFont="1" applyBorder="1"/>
    <xf numFmtId="165" fontId="9" fillId="0" borderId="0" xfId="1" applyNumberFormat="1" applyFont="1"/>
    <xf numFmtId="10" fontId="0" fillId="0" borderId="0" xfId="0" applyNumberFormat="1"/>
    <xf numFmtId="10" fontId="0" fillId="0" borderId="0" xfId="0" applyNumberFormat="1" applyAlignment="1">
      <alignment horizontal="left" indent="1"/>
    </xf>
    <xf numFmtId="10" fontId="0" fillId="3" borderId="0" xfId="0" applyNumberFormat="1" applyFill="1"/>
    <xf numFmtId="166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 indent="1"/>
    </xf>
    <xf numFmtId="166" fontId="0" fillId="0" borderId="1" xfId="0" applyNumberFormat="1" applyBorder="1"/>
    <xf numFmtId="167" fontId="0" fillId="0" borderId="0" xfId="0" applyNumberFormat="1"/>
    <xf numFmtId="167" fontId="0" fillId="0" borderId="0" xfId="1" applyNumberFormat="1" applyFont="1"/>
    <xf numFmtId="167" fontId="0" fillId="0" borderId="1" xfId="1" applyNumberFormat="1" applyFont="1" applyBorder="1"/>
    <xf numFmtId="0" fontId="0" fillId="0" borderId="4" xfId="0" applyBorder="1"/>
    <xf numFmtId="167" fontId="0" fillId="0" borderId="4" xfId="0" applyNumberFormat="1" applyBorder="1"/>
    <xf numFmtId="3" fontId="0" fillId="3" borderId="0" xfId="0" applyNumberFormat="1" applyFill="1"/>
    <xf numFmtId="0" fontId="0" fillId="0" borderId="0" xfId="1" applyNumberFormat="1" applyFont="1"/>
    <xf numFmtId="0" fontId="0" fillId="0" borderId="0" xfId="0" applyAlignment="1">
      <alignment horizontal="left"/>
    </xf>
    <xf numFmtId="165" fontId="0" fillId="3" borderId="0" xfId="0" applyNumberFormat="1" applyFill="1"/>
    <xf numFmtId="0" fontId="9" fillId="2" borderId="0" xfId="0" applyFont="1" applyFill="1"/>
    <xf numFmtId="0" fontId="12" fillId="2" borderId="0" xfId="0" applyFont="1" applyFill="1"/>
    <xf numFmtId="0" fontId="10" fillId="2" borderId="0" xfId="0" applyFont="1" applyFill="1"/>
    <xf numFmtId="168" fontId="8" fillId="0" borderId="0" xfId="1" applyNumberFormat="1" applyFont="1"/>
    <xf numFmtId="168" fontId="8" fillId="0" borderId="0" xfId="0" applyNumberFormat="1" applyFont="1"/>
    <xf numFmtId="168" fontId="9" fillId="0" borderId="0" xfId="1" applyNumberFormat="1" applyFont="1"/>
    <xf numFmtId="168" fontId="9" fillId="0" borderId="0" xfId="0" applyNumberFormat="1" applyFont="1"/>
    <xf numFmtId="168" fontId="11" fillId="0" borderId="0" xfId="1" applyNumberFormat="1" applyFont="1"/>
    <xf numFmtId="168" fontId="2" fillId="0" borderId="0" xfId="1" applyNumberFormat="1" applyFont="1"/>
    <xf numFmtId="168" fontId="2" fillId="0" borderId="0" xfId="0" applyNumberFormat="1" applyFont="1"/>
    <xf numFmtId="168" fontId="0" fillId="0" borderId="0" xfId="1" applyNumberFormat="1" applyFont="1"/>
    <xf numFmtId="168" fontId="0" fillId="0" borderId="0" xfId="0" applyNumberFormat="1"/>
    <xf numFmtId="169" fontId="9" fillId="0" borderId="0" xfId="1" applyNumberFormat="1" applyFont="1"/>
    <xf numFmtId="169" fontId="0" fillId="0" borderId="0" xfId="1" applyNumberFormat="1" applyFont="1"/>
    <xf numFmtId="169" fontId="2" fillId="0" borderId="1" xfId="1" applyNumberFormat="1" applyFont="1" applyBorder="1"/>
    <xf numFmtId="169" fontId="2" fillId="0" borderId="0" xfId="1" applyNumberFormat="1" applyFont="1"/>
    <xf numFmtId="169" fontId="2" fillId="0" borderId="3" xfId="1" applyNumberFormat="1" applyFont="1" applyBorder="1"/>
    <xf numFmtId="169" fontId="9" fillId="0" borderId="0" xfId="1" applyNumberFormat="1" applyFont="1" applyAlignment="1">
      <alignment horizontal="right" indent="1"/>
    </xf>
    <xf numFmtId="168" fontId="0" fillId="3" borderId="0" xfId="0" applyNumberFormat="1" applyFill="1"/>
    <xf numFmtId="43" fontId="0" fillId="0" borderId="0" xfId="1" applyFont="1"/>
    <xf numFmtId="43" fontId="0" fillId="3" borderId="0" xfId="0" applyNumberFormat="1" applyFill="1"/>
    <xf numFmtId="168" fontId="12" fillId="0" borderId="0" xfId="0" applyNumberFormat="1" applyFont="1"/>
    <xf numFmtId="164" fontId="9" fillId="0" borderId="0" xfId="1" applyNumberFormat="1" applyFont="1"/>
    <xf numFmtId="43" fontId="9" fillId="0" borderId="0" xfId="1" applyFont="1"/>
    <xf numFmtId="10" fontId="0" fillId="0" borderId="0" xfId="1" applyNumberFormat="1" applyFont="1"/>
    <xf numFmtId="168" fontId="2" fillId="0" borderId="1" xfId="1" applyNumberFormat="1" applyFont="1" applyBorder="1"/>
    <xf numFmtId="0" fontId="0" fillId="0" borderId="1" xfId="0" applyFont="1" applyBorder="1"/>
    <xf numFmtId="10" fontId="0" fillId="0" borderId="1" xfId="1" applyNumberFormat="1" applyFont="1" applyBorder="1"/>
    <xf numFmtId="0" fontId="0" fillId="0" borderId="0" xfId="0" applyFont="1" applyFill="1" applyBorder="1"/>
    <xf numFmtId="0" fontId="0" fillId="0" borderId="0" xfId="0" applyFont="1" applyBorder="1"/>
    <xf numFmtId="165" fontId="0" fillId="0" borderId="0" xfId="1" applyNumberFormat="1" applyFont="1" applyBorder="1"/>
    <xf numFmtId="10" fontId="9" fillId="0" borderId="0" xfId="1" applyNumberFormat="1" applyFont="1"/>
    <xf numFmtId="165" fontId="11" fillId="0" borderId="0" xfId="1" applyNumberFormat="1" applyFont="1"/>
    <xf numFmtId="165" fontId="12" fillId="0" borderId="0" xfId="1" applyNumberFormat="1" applyFont="1"/>
    <xf numFmtId="9" fontId="12" fillId="0" borderId="0" xfId="1" applyNumberFormat="1" applyFont="1"/>
    <xf numFmtId="168" fontId="11" fillId="0" borderId="0" xfId="0" applyNumberFormat="1" applyFont="1"/>
    <xf numFmtId="165" fontId="13" fillId="0" borderId="0" xfId="1" applyNumberFormat="1" applyFont="1"/>
    <xf numFmtId="165" fontId="8" fillId="0" borderId="3" xfId="1" applyNumberFormat="1" applyFont="1" applyBorder="1"/>
    <xf numFmtId="167" fontId="9" fillId="0" borderId="0" xfId="1" applyNumberFormat="1" applyFont="1"/>
    <xf numFmtId="165" fontId="2" fillId="0" borderId="3" xfId="0" applyNumberFormat="1" applyFont="1" applyBorder="1"/>
    <xf numFmtId="165" fontId="0" fillId="0" borderId="0" xfId="0" applyNumberFormat="1"/>
    <xf numFmtId="165" fontId="8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165" fontId="13" fillId="0" borderId="0" xfId="1" applyNumberFormat="1" applyFont="1" applyBorder="1" applyAlignment="1">
      <alignment horizontal="center"/>
    </xf>
    <xf numFmtId="165" fontId="8" fillId="0" borderId="0" xfId="1" applyNumberFormat="1" applyFont="1"/>
    <xf numFmtId="169" fontId="12" fillId="0" borderId="0" xfId="1" applyNumberFormat="1" applyFont="1"/>
    <xf numFmtId="169" fontId="11" fillId="0" borderId="0" xfId="1" applyNumberFormat="1" applyFont="1"/>
    <xf numFmtId="0" fontId="14" fillId="2" borderId="0" xfId="0" applyFont="1" applyFill="1" applyBorder="1" applyAlignment="1"/>
    <xf numFmtId="167" fontId="2" fillId="0" borderId="1" xfId="0" applyNumberFormat="1" applyFont="1" applyBorder="1"/>
    <xf numFmtId="165" fontId="0" fillId="0" borderId="1" xfId="1" applyNumberFormat="1" applyFont="1" applyBorder="1"/>
    <xf numFmtId="0" fontId="0" fillId="3" borderId="0" xfId="0" applyFill="1" applyBorder="1"/>
    <xf numFmtId="0" fontId="0" fillId="0" borderId="5" xfId="0" applyBorder="1"/>
    <xf numFmtId="165" fontId="0" fillId="0" borderId="5" xfId="0" applyNumberFormat="1" applyBorder="1"/>
    <xf numFmtId="165" fontId="0" fillId="0" borderId="5" xfId="1" applyNumberFormat="1" applyFont="1" applyBorder="1"/>
    <xf numFmtId="43" fontId="0" fillId="0" borderId="0" xfId="0" applyNumberFormat="1"/>
    <xf numFmtId="43" fontId="0" fillId="0" borderId="1" xfId="0" applyNumberFormat="1" applyBorder="1"/>
    <xf numFmtId="43" fontId="0" fillId="0" borderId="0" xfId="0" applyNumberFormat="1" applyBorder="1"/>
    <xf numFmtId="0" fontId="0" fillId="0" borderId="6" xfId="0" applyBorder="1"/>
    <xf numFmtId="0" fontId="0" fillId="0" borderId="7" xfId="0" applyBorder="1"/>
    <xf numFmtId="165" fontId="0" fillId="0" borderId="7" xfId="0" applyNumberFormat="1" applyBorder="1"/>
    <xf numFmtId="165" fontId="0" fillId="0" borderId="4" xfId="0" applyNumberFormat="1" applyBorder="1"/>
    <xf numFmtId="0" fontId="2" fillId="0" borderId="5" xfId="0" applyFont="1" applyBorder="1"/>
    <xf numFmtId="43" fontId="0" fillId="0" borderId="5" xfId="0" applyNumberFormat="1" applyBorder="1"/>
    <xf numFmtId="1" fontId="2" fillId="0" borderId="3" xfId="0" applyNumberFormat="1" applyFont="1" applyBorder="1"/>
    <xf numFmtId="43" fontId="0" fillId="0" borderId="0" xfId="0" applyNumberFormat="1" applyFont="1"/>
    <xf numFmtId="43" fontId="2" fillId="0" borderId="3" xfId="0" applyNumberFormat="1" applyFont="1" applyBorder="1"/>
    <xf numFmtId="3" fontId="13" fillId="0" borderId="1" xfId="0" applyNumberFormat="1" applyFont="1" applyBorder="1"/>
    <xf numFmtId="165" fontId="2" fillId="0" borderId="1" xfId="0" applyNumberFormat="1" applyFont="1" applyBorder="1"/>
    <xf numFmtId="166" fontId="0" fillId="0" borderId="0" xfId="1" applyNumberFormat="1" applyFont="1"/>
    <xf numFmtId="168" fontId="0" fillId="0" borderId="0" xfId="0" applyNumberFormat="1" applyAlignment="1">
      <alignment wrapText="1"/>
    </xf>
    <xf numFmtId="3" fontId="10" fillId="3" borderId="0" xfId="0" applyNumberFormat="1" applyFont="1" applyFill="1"/>
    <xf numFmtId="169" fontId="12" fillId="0" borderId="0" xfId="0" applyNumberFormat="1" applyFont="1"/>
    <xf numFmtId="168" fontId="12" fillId="0" borderId="0" xfId="1" applyNumberFormat="1" applyFont="1"/>
    <xf numFmtId="3" fontId="12" fillId="0" borderId="0" xfId="0" applyNumberFormat="1" applyFont="1"/>
    <xf numFmtId="3" fontId="17" fillId="0" borderId="1" xfId="0" applyNumberFormat="1" applyFont="1" applyBorder="1"/>
    <xf numFmtId="0" fontId="11" fillId="0" borderId="0" xfId="0" applyFont="1"/>
    <xf numFmtId="169" fontId="11" fillId="0" borderId="0" xfId="0" applyNumberFormat="1" applyFont="1"/>
    <xf numFmtId="168" fontId="17" fillId="0" borderId="0" xfId="1" applyNumberFormat="1" applyFont="1"/>
    <xf numFmtId="3" fontId="17" fillId="0" borderId="3" xfId="0" applyNumberFormat="1" applyFont="1" applyBorder="1"/>
    <xf numFmtId="168" fontId="17" fillId="0" borderId="3" xfId="0" applyNumberFormat="1" applyFont="1" applyBorder="1"/>
    <xf numFmtId="3" fontId="11" fillId="0" borderId="0" xfId="0" applyNumberFormat="1" applyFont="1"/>
    <xf numFmtId="0" fontId="2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168" fontId="2" fillId="0" borderId="3" xfId="1" applyNumberFormat="1" applyFont="1" applyBorder="1"/>
    <xf numFmtId="168" fontId="2" fillId="0" borderId="3" xfId="0" applyNumberFormat="1" applyFont="1" applyBorder="1"/>
    <xf numFmtId="0" fontId="18" fillId="0" borderId="0" xfId="0" applyFont="1"/>
    <xf numFmtId="0" fontId="1" fillId="0" borderId="0" xfId="0" applyFont="1" applyBorder="1"/>
    <xf numFmtId="0" fontId="1" fillId="0" borderId="8" xfId="0" applyFont="1" applyBorder="1"/>
    <xf numFmtId="0" fontId="2" fillId="0" borderId="5" xfId="0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0" fontId="1" fillId="0" borderId="5" xfId="0" applyFont="1" applyBorder="1"/>
    <xf numFmtId="0" fontId="0" fillId="4" borderId="0" xfId="0" applyFill="1"/>
    <xf numFmtId="0" fontId="20" fillId="5" borderId="1" xfId="0" applyFont="1" applyFill="1" applyBorder="1" applyAlignment="1">
      <alignment horizontal="left"/>
    </xf>
    <xf numFmtId="0" fontId="6" fillId="5" borderId="1" xfId="0" applyFont="1" applyFill="1" applyBorder="1"/>
    <xf numFmtId="0" fontId="0" fillId="5" borderId="0" xfId="0" applyFill="1"/>
    <xf numFmtId="0" fontId="19" fillId="5" borderId="0" xfId="0" applyFont="1" applyFill="1" applyBorder="1" applyAlignment="1"/>
    <xf numFmtId="0" fontId="0" fillId="0" borderId="11" xfId="0" applyBorder="1"/>
    <xf numFmtId="0" fontId="0" fillId="0" borderId="12" xfId="0" applyBorder="1"/>
    <xf numFmtId="0" fontId="0" fillId="3" borderId="1" xfId="0" applyFill="1" applyBorder="1"/>
    <xf numFmtId="0" fontId="0" fillId="3" borderId="12" xfId="0" applyFill="1" applyBorder="1"/>
    <xf numFmtId="0" fontId="0" fillId="3" borderId="8" xfId="0" applyFill="1" applyBorder="1"/>
    <xf numFmtId="0" fontId="2" fillId="3" borderId="11" xfId="0" applyFont="1" applyFill="1" applyBorder="1"/>
    <xf numFmtId="0" fontId="2" fillId="3" borderId="13" xfId="0" applyFont="1" applyFill="1" applyBorder="1"/>
    <xf numFmtId="0" fontId="0" fillId="3" borderId="3" xfId="0" applyFill="1" applyBorder="1"/>
    <xf numFmtId="165" fontId="0" fillId="0" borderId="7" xfId="1" applyNumberFormat="1" applyFont="1" applyBorder="1"/>
    <xf numFmtId="170" fontId="0" fillId="4" borderId="5" xfId="0" applyNumberFormat="1" applyFill="1" applyBorder="1"/>
    <xf numFmtId="170" fontId="2" fillId="3" borderId="8" xfId="0" applyNumberFormat="1" applyFont="1" applyFill="1" applyBorder="1"/>
    <xf numFmtId="171" fontId="0" fillId="0" borderId="0" xfId="0" applyNumberFormat="1"/>
    <xf numFmtId="170" fontId="0" fillId="0" borderId="5" xfId="0" applyNumberFormat="1" applyBorder="1"/>
    <xf numFmtId="168" fontId="0" fillId="0" borderId="5" xfId="0" applyNumberFormat="1" applyBorder="1"/>
    <xf numFmtId="43" fontId="0" fillId="6" borderId="5" xfId="0" applyNumberFormat="1" applyFill="1" applyBorder="1"/>
    <xf numFmtId="0" fontId="2" fillId="0" borderId="5" xfId="0" applyFont="1" applyBorder="1" applyAlignment="1">
      <alignment horizontal="left"/>
    </xf>
    <xf numFmtId="0" fontId="2" fillId="0" borderId="5" xfId="0" applyFont="1" applyFill="1" applyBorder="1" applyAlignment="1">
      <alignment horizontal="right"/>
    </xf>
    <xf numFmtId="0" fontId="2" fillId="0" borderId="9" xfId="0" applyFont="1" applyBorder="1"/>
    <xf numFmtId="0" fontId="2" fillId="0" borderId="4" xfId="0" applyFont="1" applyBorder="1"/>
    <xf numFmtId="0" fontId="2" fillId="0" borderId="10" xfId="0" applyFont="1" applyBorder="1"/>
    <xf numFmtId="0" fontId="0" fillId="0" borderId="15" xfId="0" applyBorder="1"/>
    <xf numFmtId="0" fontId="0" fillId="0" borderId="14" xfId="0" applyBorder="1"/>
    <xf numFmtId="0" fontId="20" fillId="7" borderId="0" xfId="0" applyFont="1" applyFill="1"/>
    <xf numFmtId="0" fontId="6" fillId="7" borderId="0" xfId="0" applyFont="1" applyFill="1"/>
    <xf numFmtId="14" fontId="0" fillId="0" borderId="0" xfId="0" applyNumberFormat="1"/>
    <xf numFmtId="10" fontId="12" fillId="0" borderId="0" xfId="0" applyNumberFormat="1" applyFont="1"/>
    <xf numFmtId="172" fontId="12" fillId="0" borderId="0" xfId="0" applyNumberFormat="1" applyFont="1"/>
    <xf numFmtId="0" fontId="12" fillId="0" borderId="0" xfId="0" applyFont="1"/>
    <xf numFmtId="10" fontId="9" fillId="0" borderId="0" xfId="3" applyNumberFormat="1" applyFont="1"/>
    <xf numFmtId="9" fontId="21" fillId="8" borderId="0" xfId="3" applyFont="1" applyFill="1" applyBorder="1" applyAlignment="1">
      <alignment vertical="top"/>
    </xf>
    <xf numFmtId="0" fontId="22" fillId="8" borderId="0" xfId="0" applyFont="1" applyFill="1" applyBorder="1"/>
    <xf numFmtId="0" fontId="23" fillId="8" borderId="1" xfId="0" applyFont="1" applyFill="1" applyBorder="1" applyAlignment="1">
      <alignment horizontal="center"/>
    </xf>
    <xf numFmtId="0" fontId="0" fillId="9" borderId="0" xfId="0" applyFill="1"/>
    <xf numFmtId="9" fontId="1" fillId="0" borderId="0" xfId="3" applyFont="1" applyBorder="1"/>
    <xf numFmtId="0" fontId="2" fillId="0" borderId="0" xfId="0" applyFont="1" applyBorder="1" applyAlignment="1">
      <alignment horizontal="right"/>
    </xf>
    <xf numFmtId="4" fontId="1" fillId="0" borderId="0" xfId="0" applyNumberFormat="1" applyFont="1" applyBorder="1"/>
    <xf numFmtId="14" fontId="1" fillId="0" borderId="0" xfId="0" applyNumberFormat="1" applyFont="1" applyBorder="1"/>
    <xf numFmtId="0" fontId="2" fillId="3" borderId="0" xfId="0" applyFont="1" applyFill="1" applyBorder="1"/>
    <xf numFmtId="166" fontId="2" fillId="3" borderId="0" xfId="0" applyNumberFormat="1" applyFont="1" applyFill="1" applyBorder="1"/>
    <xf numFmtId="167" fontId="2" fillId="3" borderId="0" xfId="0" applyNumberFormat="1" applyFont="1" applyFill="1" applyBorder="1"/>
    <xf numFmtId="165" fontId="12" fillId="0" borderId="5" xfId="1" applyNumberFormat="1" applyFont="1" applyBorder="1"/>
    <xf numFmtId="165" fontId="0" fillId="3" borderId="3" xfId="1" applyNumberFormat="1" applyFont="1" applyFill="1" applyBorder="1"/>
    <xf numFmtId="165" fontId="0" fillId="3" borderId="1" xfId="1" applyNumberFormat="1" applyFont="1" applyFill="1" applyBorder="1"/>
    <xf numFmtId="0" fontId="2" fillId="4" borderId="5" xfId="0" applyFont="1" applyFill="1" applyBorder="1"/>
    <xf numFmtId="9" fontId="0" fillId="4" borderId="5" xfId="0" applyNumberFormat="1" applyFill="1" applyBorder="1"/>
    <xf numFmtId="10" fontId="0" fillId="4" borderId="5" xfId="1" applyNumberFormat="1" applyFont="1" applyFill="1" applyBorder="1"/>
    <xf numFmtId="10" fontId="0" fillId="4" borderId="5" xfId="0" applyNumberFormat="1" applyFill="1" applyBorder="1"/>
    <xf numFmtId="2" fontId="0" fillId="0" borderId="5" xfId="0" applyNumberFormat="1" applyBorder="1"/>
    <xf numFmtId="0" fontId="18" fillId="0" borderId="0" xfId="0" applyFont="1" applyBorder="1"/>
    <xf numFmtId="0" fontId="1" fillId="0" borderId="1" xfId="0" applyFont="1" applyBorder="1"/>
    <xf numFmtId="10" fontId="1" fillId="0" borderId="0" xfId="0" applyNumberFormat="1" applyFont="1" applyBorder="1"/>
    <xf numFmtId="9" fontId="2" fillId="0" borderId="1" xfId="3" applyFont="1" applyBorder="1"/>
    <xf numFmtId="10" fontId="12" fillId="0" borderId="0" xfId="0" applyNumberFormat="1" applyFont="1" applyBorder="1"/>
    <xf numFmtId="167" fontId="12" fillId="0" borderId="0" xfId="0" applyNumberFormat="1" applyFont="1" applyBorder="1"/>
    <xf numFmtId="10" fontId="9" fillId="0" borderId="0" xfId="0" applyNumberFormat="1" applyFont="1" applyBorder="1"/>
    <xf numFmtId="2" fontId="1" fillId="0" borderId="1" xfId="0" applyNumberFormat="1" applyFont="1" applyBorder="1"/>
    <xf numFmtId="0" fontId="2" fillId="0" borderId="13" xfId="0" applyFont="1" applyBorder="1"/>
    <xf numFmtId="10" fontId="2" fillId="0" borderId="8" xfId="0" applyNumberFormat="1" applyFont="1" applyBorder="1"/>
    <xf numFmtId="3" fontId="1" fillId="0" borderId="0" xfId="0" applyNumberFormat="1" applyFont="1" applyBorder="1"/>
    <xf numFmtId="2" fontId="0" fillId="0" borderId="0" xfId="0" applyNumberFormat="1"/>
    <xf numFmtId="0" fontId="1" fillId="0" borderId="0" xfId="0" applyFont="1"/>
    <xf numFmtId="168" fontId="0" fillId="0" borderId="1" xfId="1" applyNumberFormat="1" applyFont="1" applyBorder="1"/>
    <xf numFmtId="168" fontId="0" fillId="0" borderId="1" xfId="0" applyNumberFormat="1" applyBorder="1"/>
    <xf numFmtId="0" fontId="2" fillId="0" borderId="0" xfId="0" applyFont="1" applyFill="1" applyBorder="1"/>
    <xf numFmtId="165" fontId="2" fillId="0" borderId="0" xfId="0" applyNumberFormat="1" applyFont="1"/>
    <xf numFmtId="165" fontId="0" fillId="6" borderId="0" xfId="0" applyNumberFormat="1" applyFill="1"/>
    <xf numFmtId="10" fontId="2" fillId="0" borderId="0" xfId="0" applyNumberFormat="1" applyFont="1"/>
    <xf numFmtId="0" fontId="7" fillId="7" borderId="1" xfId="0" applyFont="1" applyFill="1" applyBorder="1" applyAlignment="1"/>
    <xf numFmtId="10" fontId="2" fillId="3" borderId="5" xfId="1" applyNumberFormat="1" applyFont="1" applyFill="1" applyBorder="1"/>
    <xf numFmtId="9" fontId="2" fillId="3" borderId="5" xfId="1" applyNumberFormat="1" applyFont="1" applyFill="1" applyBorder="1"/>
    <xf numFmtId="43" fontId="2" fillId="3" borderId="5" xfId="1" applyFont="1" applyFill="1" applyBorder="1"/>
    <xf numFmtId="43" fontId="2" fillId="3" borderId="5" xfId="1" applyNumberFormat="1" applyFont="1" applyFill="1" applyBorder="1"/>
    <xf numFmtId="0" fontId="0" fillId="10" borderId="0" xfId="0" applyFill="1"/>
    <xf numFmtId="0" fontId="2" fillId="10" borderId="0" xfId="0" applyFont="1" applyFill="1"/>
    <xf numFmtId="0" fontId="2" fillId="0" borderId="0" xfId="0" applyNumberFormat="1" applyFont="1" applyAlignment="1">
      <alignment horizontal="centerContinuous"/>
    </xf>
    <xf numFmtId="172" fontId="2" fillId="0" borderId="0" xfId="0" applyNumberFormat="1" applyFont="1"/>
    <xf numFmtId="10" fontId="2" fillId="0" borderId="0" xfId="3" applyNumberFormat="1" applyFont="1"/>
    <xf numFmtId="165" fontId="0" fillId="0" borderId="15" xfId="1" applyNumberFormat="1" applyFont="1" applyBorder="1"/>
    <xf numFmtId="165" fontId="0" fillId="10" borderId="0" xfId="1" applyNumberFormat="1" applyFont="1" applyFill="1" applyBorder="1"/>
    <xf numFmtId="165" fontId="0" fillId="11" borderId="0" xfId="1" applyNumberFormat="1" applyFont="1" applyFill="1" applyBorder="1"/>
    <xf numFmtId="165" fontId="0" fillId="0" borderId="9" xfId="1" applyNumberFormat="1" applyFont="1" applyBorder="1"/>
    <xf numFmtId="165" fontId="0" fillId="0" borderId="4" xfId="1" applyNumberFormat="1" applyFont="1" applyBorder="1"/>
    <xf numFmtId="10" fontId="2" fillId="0" borderId="0" xfId="3" applyNumberFormat="1" applyFont="1" applyFill="1" applyBorder="1"/>
    <xf numFmtId="165" fontId="0" fillId="3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165" fontId="7" fillId="0" borderId="2" xfId="1" applyNumberFormat="1" applyFont="1" applyBorder="1" applyAlignment="1">
      <alignment horizontal="center"/>
    </xf>
    <xf numFmtId="0" fontId="2" fillId="0" borderId="0" xfId="0" applyFont="1" applyAlignment="1">
      <alignment horizontal="right" textRotation="90"/>
    </xf>
    <xf numFmtId="0" fontId="2" fillId="0" borderId="0" xfId="0" applyNumberFormat="1" applyFont="1" applyAlignment="1">
      <alignment horizontal="center"/>
    </xf>
    <xf numFmtId="0" fontId="24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19" fillId="7" borderId="0" xfId="0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18" fillId="2" borderId="0" xfId="0" applyFont="1" applyFill="1"/>
    <xf numFmtId="165" fontId="0" fillId="0" borderId="1" xfId="0" applyNumberFormat="1" applyBorder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82CC-DC1F-495A-8987-EEB92AC47A4E}">
  <dimension ref="A1:H15"/>
  <sheetViews>
    <sheetView showGridLines="0" tabSelected="1" workbookViewId="0"/>
  </sheetViews>
  <sheetFormatPr defaultRowHeight="14.4" x14ac:dyDescent="0.3"/>
  <cols>
    <col min="1" max="1" width="3.21875" customWidth="1"/>
    <col min="2" max="2" width="5" customWidth="1"/>
    <col min="6" max="6" width="2.44140625" customWidth="1"/>
    <col min="8" max="8" width="10.88671875" bestFit="1" customWidth="1"/>
  </cols>
  <sheetData>
    <row r="1" spans="1:8" ht="19.8" x14ac:dyDescent="0.4">
      <c r="A1" s="102" t="s">
        <v>15</v>
      </c>
      <c r="B1" s="9"/>
      <c r="C1" s="10"/>
      <c r="D1" s="10"/>
      <c r="E1" s="10"/>
      <c r="G1" s="247" t="s">
        <v>29</v>
      </c>
      <c r="H1" s="3"/>
    </row>
    <row r="2" spans="1:8" x14ac:dyDescent="0.3">
      <c r="A2" s="3"/>
      <c r="B2" s="4" t="s">
        <v>1</v>
      </c>
      <c r="C2" s="6"/>
      <c r="D2" s="6"/>
      <c r="E2" s="6"/>
      <c r="G2" s="54" t="s">
        <v>30</v>
      </c>
      <c r="H2" s="3" t="s">
        <v>212</v>
      </c>
    </row>
    <row r="3" spans="1:8" x14ac:dyDescent="0.3">
      <c r="A3" s="3"/>
      <c r="B3" s="3"/>
      <c r="C3" s="5" t="s">
        <v>6</v>
      </c>
      <c r="D3" s="3"/>
      <c r="E3" s="3"/>
      <c r="G3" s="3" t="s">
        <v>31</v>
      </c>
      <c r="H3" s="3" t="s">
        <v>213</v>
      </c>
    </row>
    <row r="4" spans="1:8" x14ac:dyDescent="0.3">
      <c r="A4" s="3"/>
      <c r="B4" s="3"/>
      <c r="C4" s="5" t="s">
        <v>5</v>
      </c>
      <c r="D4" s="3"/>
      <c r="E4" s="3"/>
      <c r="G4" s="55" t="s">
        <v>32</v>
      </c>
      <c r="H4" s="3" t="s">
        <v>214</v>
      </c>
    </row>
    <row r="5" spans="1:8" x14ac:dyDescent="0.3">
      <c r="A5" s="3"/>
      <c r="B5" s="3"/>
      <c r="C5" s="5" t="s">
        <v>4</v>
      </c>
      <c r="D5" s="3"/>
      <c r="E5" s="3"/>
      <c r="G5" s="56" t="s">
        <v>197</v>
      </c>
      <c r="H5" s="3" t="s">
        <v>362</v>
      </c>
    </row>
    <row r="6" spans="1:8" x14ac:dyDescent="0.3">
      <c r="A6" s="3"/>
      <c r="B6" s="4" t="s">
        <v>2</v>
      </c>
      <c r="C6" s="3"/>
      <c r="D6" s="3"/>
      <c r="E6" s="3"/>
    </row>
    <row r="7" spans="1:8" x14ac:dyDescent="0.3">
      <c r="A7" s="3"/>
      <c r="B7" s="3"/>
      <c r="C7" s="5" t="s">
        <v>7</v>
      </c>
      <c r="D7" s="3"/>
      <c r="E7" s="3"/>
    </row>
    <row r="8" spans="1:8" x14ac:dyDescent="0.3">
      <c r="A8" s="3"/>
      <c r="B8" s="3"/>
      <c r="C8" s="5" t="s">
        <v>8</v>
      </c>
      <c r="D8" s="3"/>
      <c r="E8" s="3"/>
    </row>
    <row r="9" spans="1:8" x14ac:dyDescent="0.3">
      <c r="A9" s="3"/>
      <c r="B9" s="3"/>
      <c r="C9" s="5" t="s">
        <v>9</v>
      </c>
      <c r="D9" s="3"/>
      <c r="E9" s="3"/>
    </row>
    <row r="10" spans="1:8" x14ac:dyDescent="0.3">
      <c r="A10" s="3"/>
      <c r="B10" s="3"/>
      <c r="C10" s="5" t="s">
        <v>10</v>
      </c>
      <c r="D10" s="3"/>
      <c r="E10" s="3"/>
    </row>
    <row r="11" spans="1:8" x14ac:dyDescent="0.3">
      <c r="A11" s="3"/>
      <c r="B11" s="3"/>
      <c r="C11" s="5" t="s">
        <v>11</v>
      </c>
      <c r="D11" s="3"/>
      <c r="E11" s="3"/>
    </row>
    <row r="12" spans="1:8" x14ac:dyDescent="0.3">
      <c r="A12" s="3"/>
      <c r="B12" s="4" t="s">
        <v>3</v>
      </c>
      <c r="C12" s="3"/>
      <c r="D12" s="3"/>
      <c r="E12" s="3"/>
    </row>
    <row r="13" spans="1:8" x14ac:dyDescent="0.3">
      <c r="A13" s="3"/>
      <c r="B13" s="3"/>
      <c r="C13" s="5" t="s">
        <v>13</v>
      </c>
      <c r="D13" s="3"/>
      <c r="E13" s="3"/>
    </row>
    <row r="14" spans="1:8" x14ac:dyDescent="0.3">
      <c r="A14" s="3"/>
      <c r="B14" s="3"/>
      <c r="C14" s="5" t="s">
        <v>14</v>
      </c>
      <c r="D14" s="3"/>
      <c r="E14" s="3"/>
    </row>
    <row r="15" spans="1:8" x14ac:dyDescent="0.3">
      <c r="A15" s="3"/>
      <c r="B15" s="3"/>
      <c r="C15" s="3"/>
      <c r="D15" s="3"/>
      <c r="E15" s="3"/>
    </row>
  </sheetData>
  <hyperlinks>
    <hyperlink ref="C3" location="'Income Statement'!A1" display="'Income Statement'!A1" xr:uid="{21BE8108-DA32-4066-B6E2-2B8F4D206A5D}"/>
    <hyperlink ref="C4" location="'Balance Sheet'!A1" display="'Balance Sheet'" xr:uid="{B21B2A02-E730-4425-A369-7358F09317FC}"/>
    <hyperlink ref="C5" location="'Cash Flows '!A1" display="'Cash Flows" xr:uid="{DFFE2C29-6D21-4FA0-819E-758ECBE4FB91}"/>
    <hyperlink ref="C7" location="'Ratio Analysis'!A1" display="'Ratio Analysis" xr:uid="{449D52B0-A82F-49DB-9BB7-E77F0AC81095}"/>
    <hyperlink ref="C8" location="'Revenue Built Up'!A1" display="'Revenue Built Up'!A1" xr:uid="{3B01ED4D-303B-4610-8F49-5E03A634CF80}"/>
    <hyperlink ref="C9" location="'Cost Sheet'!A1" display="'Cost Sheet'!A1" xr:uid="{2C7542CB-D23E-4AFC-8DC4-AFD13556B836}"/>
    <hyperlink ref="C10" location="'Working Cap'!A1" display="'Working Cap'!A1" xr:uid="{C258A63E-97D0-489D-AEA1-8A97D29706A4}"/>
    <hyperlink ref="C11" location="'Dep &amp; Capex'!A1" display="Dep &amp; Capex'!A1" xr:uid="{064F9646-9D4F-4A5C-BE74-18E93F8DE6FD}"/>
    <hyperlink ref="C13" location="'DCF '!A1" display="'DCF '!A1" xr:uid="{71F761E9-761A-4335-8BC6-5316CF1E4028}"/>
    <hyperlink ref="C14" location="'Relative Valuation'!A1" display="'Relative Valuation'!A1" xr:uid="{CCC2CBB0-C6C7-47E7-8691-B3BD39796047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640C-E14F-41B3-86AF-45F578F78A15}">
  <dimension ref="A1:Q34"/>
  <sheetViews>
    <sheetView showGridLines="0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O47" sqref="O47"/>
    </sheetView>
  </sheetViews>
  <sheetFormatPr defaultRowHeight="14.4" x14ac:dyDescent="0.3"/>
  <cols>
    <col min="1" max="1" width="3.109375" customWidth="1"/>
    <col min="2" max="2" width="49.44140625" customWidth="1"/>
    <col min="3" max="5" width="9.21875" customWidth="1"/>
    <col min="6" max="6" width="9.6640625" bestFit="1" customWidth="1"/>
    <col min="7" max="12" width="9.21875" customWidth="1"/>
    <col min="13" max="16384" width="8.88671875" style="11"/>
  </cols>
  <sheetData>
    <row r="1" spans="1:17" ht="20.399999999999999" thickBot="1" x14ac:dyDescent="0.45">
      <c r="B1" s="7" t="s">
        <v>0</v>
      </c>
      <c r="C1" s="235" t="s">
        <v>16</v>
      </c>
      <c r="D1" s="235"/>
      <c r="E1" s="235"/>
      <c r="F1" s="235"/>
      <c r="G1" s="235"/>
      <c r="H1" s="236" t="s">
        <v>17</v>
      </c>
      <c r="I1" s="236"/>
      <c r="J1" s="236"/>
      <c r="K1" s="236"/>
      <c r="L1" s="236"/>
    </row>
    <row r="2" spans="1:17" x14ac:dyDescent="0.3">
      <c r="B2" s="18" t="s">
        <v>27</v>
      </c>
      <c r="C2" s="16" t="s">
        <v>18</v>
      </c>
      <c r="D2" s="16" t="s">
        <v>28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  <c r="L2" s="16" t="s">
        <v>26</v>
      </c>
    </row>
    <row r="3" spans="1:17" x14ac:dyDescent="0.3">
      <c r="B3" s="2" t="s">
        <v>33</v>
      </c>
      <c r="C3" s="57">
        <v>191754</v>
      </c>
      <c r="D3" s="57">
        <v>225458</v>
      </c>
      <c r="E3" s="57">
        <v>240893</v>
      </c>
      <c r="F3" s="58">
        <v>255324</v>
      </c>
      <c r="G3" s="58">
        <v>267021</v>
      </c>
      <c r="H3" s="90">
        <f>'Revenue Built Up'!H10</f>
        <v>283443.20500000002</v>
      </c>
      <c r="I3" s="90">
        <f>'Revenue Built Up'!I10</f>
        <v>299071.00690000004</v>
      </c>
      <c r="J3" s="90">
        <f>'Revenue Built Up'!J10</f>
        <v>313882.45210500009</v>
      </c>
      <c r="K3" s="90">
        <f>'Revenue Built Up'!K10</f>
        <v>327053.58014463005</v>
      </c>
      <c r="L3" s="90">
        <f>'Revenue Built Up'!L10</f>
        <v>340912.19969670573</v>
      </c>
    </row>
    <row r="4" spans="1:17" x14ac:dyDescent="0.3">
      <c r="B4" s="52" t="s">
        <v>34</v>
      </c>
      <c r="C4" s="59">
        <v>-107554</v>
      </c>
      <c r="D4" s="59">
        <v>-127522</v>
      </c>
      <c r="E4" s="59">
        <v>-140131</v>
      </c>
      <c r="F4" s="60">
        <v>-145788</v>
      </c>
      <c r="G4" s="60">
        <v>-154994</v>
      </c>
      <c r="H4" s="100">
        <f>-'Cost Sheet'!H5</f>
        <v>-164293.64000000001</v>
      </c>
      <c r="I4" s="100">
        <f>-'Cost Sheet'!I5</f>
        <v>-174151.25840000002</v>
      </c>
      <c r="J4" s="100">
        <f>-'Cost Sheet'!J5</f>
        <v>-184600.33390400003</v>
      </c>
      <c r="K4" s="100">
        <f>-'Cost Sheet'!K5</f>
        <v>-195676.35393824003</v>
      </c>
      <c r="L4" s="100">
        <f>-'Cost Sheet'!L5</f>
        <v>-207416.93517453445</v>
      </c>
      <c r="N4" s="40"/>
      <c r="O4" s="40"/>
      <c r="P4" s="40"/>
      <c r="Q4" s="40"/>
    </row>
    <row r="5" spans="1:17" x14ac:dyDescent="0.3">
      <c r="B5" s="52" t="s">
        <v>35</v>
      </c>
      <c r="C5" s="59">
        <v>-1163</v>
      </c>
      <c r="D5" s="59">
        <v>-1881</v>
      </c>
      <c r="E5" s="59">
        <v>-3702</v>
      </c>
      <c r="F5" s="60">
        <v>-11648</v>
      </c>
      <c r="G5" s="60">
        <v>-4399</v>
      </c>
      <c r="H5" s="100">
        <f>-'Cost Sheet'!H9</f>
        <v>-4486.9800000000005</v>
      </c>
      <c r="I5" s="100">
        <f>-'Cost Sheet'!I9</f>
        <v>-4576.7196000000004</v>
      </c>
      <c r="J5" s="100">
        <f>-'Cost Sheet'!J9</f>
        <v>-4668.2539920000008</v>
      </c>
      <c r="K5" s="100">
        <f>-'Cost Sheet'!K9</f>
        <v>-4761.6190718400012</v>
      </c>
      <c r="L5" s="100">
        <f>-'Cost Sheet'!L9</f>
        <v>-4856.8514532768013</v>
      </c>
    </row>
    <row r="6" spans="1:17" x14ac:dyDescent="0.3">
      <c r="B6" s="52" t="s">
        <v>195</v>
      </c>
      <c r="C6" s="61">
        <f>SUM(C4:C5)</f>
        <v>-108717</v>
      </c>
      <c r="D6" s="61">
        <f t="shared" ref="D6:G6" si="0">SUM(D4:D5)</f>
        <v>-129403</v>
      </c>
      <c r="E6" s="61">
        <f t="shared" si="0"/>
        <v>-143833</v>
      </c>
      <c r="F6" s="61">
        <f t="shared" si="0"/>
        <v>-157436</v>
      </c>
      <c r="G6" s="61">
        <f t="shared" si="0"/>
        <v>-159393</v>
      </c>
      <c r="H6" s="101">
        <f>SUM(H4:H5)</f>
        <v>-168780.62000000002</v>
      </c>
      <c r="I6" s="101">
        <f>SUM(I4:I5)</f>
        <v>-178727.97800000003</v>
      </c>
      <c r="J6" s="101">
        <f>SUM(J4:J5)</f>
        <v>-189268.58789600004</v>
      </c>
      <c r="K6" s="101">
        <f>SUM(K4:K5)</f>
        <v>-200437.97301008002</v>
      </c>
      <c r="L6" s="101">
        <f>SUM(L4:L5)</f>
        <v>-212273.78662781123</v>
      </c>
    </row>
    <row r="7" spans="1:17" x14ac:dyDescent="0.3">
      <c r="A7" s="18"/>
      <c r="B7" s="21" t="s">
        <v>36</v>
      </c>
      <c r="C7" s="138">
        <f>SUM(C3,C6)</f>
        <v>83037</v>
      </c>
      <c r="D7" s="138">
        <f t="shared" ref="D7:L7" si="1">SUM(D3,D6)</f>
        <v>96055</v>
      </c>
      <c r="E7" s="138">
        <f t="shared" si="1"/>
        <v>97060</v>
      </c>
      <c r="F7" s="138">
        <f t="shared" si="1"/>
        <v>97888</v>
      </c>
      <c r="G7" s="138">
        <f t="shared" si="1"/>
        <v>107628</v>
      </c>
      <c r="H7" s="35">
        <f t="shared" si="1"/>
        <v>114662.58499999999</v>
      </c>
      <c r="I7" s="35">
        <f t="shared" si="1"/>
        <v>120343.0289</v>
      </c>
      <c r="J7" s="35">
        <f t="shared" si="1"/>
        <v>124613.86420900005</v>
      </c>
      <c r="K7" s="35">
        <f t="shared" si="1"/>
        <v>126615.60713455002</v>
      </c>
      <c r="L7" s="35">
        <f t="shared" si="1"/>
        <v>128638.4130688945</v>
      </c>
      <c r="N7" s="72"/>
    </row>
    <row r="8" spans="1:17" x14ac:dyDescent="0.3">
      <c r="B8" t="s">
        <v>37</v>
      </c>
      <c r="C8" s="59">
        <v>-29980</v>
      </c>
      <c r="D8" s="59">
        <v>-36796</v>
      </c>
      <c r="E8" s="59">
        <v>-32764</v>
      </c>
      <c r="F8" s="60">
        <v>-30481</v>
      </c>
      <c r="G8" s="60">
        <v>-35230</v>
      </c>
      <c r="H8" s="100">
        <f>-'Cost Sheet'!H13</f>
        <v>-39986.050000000003</v>
      </c>
      <c r="I8" s="100">
        <f>-'Cost Sheet'!I13</f>
        <v>-45384.166750000004</v>
      </c>
      <c r="J8" s="100">
        <f>-'Cost Sheet'!J13</f>
        <v>-51511.029261250005</v>
      </c>
      <c r="K8" s="100">
        <f>-'Cost Sheet'!K13</f>
        <v>-58465.018211518756</v>
      </c>
      <c r="L8" s="100">
        <f>-'Cost Sheet'!L13</f>
        <v>-66357.795670073785</v>
      </c>
    </row>
    <row r="9" spans="1:17" x14ac:dyDescent="0.3">
      <c r="B9" s="2" t="s">
        <v>38</v>
      </c>
      <c r="C9" s="62">
        <f t="shared" ref="C9:L9" si="2">SUM(C7:C8)</f>
        <v>53057</v>
      </c>
      <c r="D9" s="62">
        <f t="shared" si="2"/>
        <v>59259</v>
      </c>
      <c r="E9" s="62">
        <f t="shared" si="2"/>
        <v>64296</v>
      </c>
      <c r="F9" s="63">
        <f t="shared" si="2"/>
        <v>67407</v>
      </c>
      <c r="G9" s="63">
        <f t="shared" si="2"/>
        <v>72398</v>
      </c>
      <c r="H9" s="14">
        <f t="shared" si="2"/>
        <v>74676.534999999989</v>
      </c>
      <c r="I9" s="14">
        <f t="shared" si="2"/>
        <v>74958.862150000001</v>
      </c>
      <c r="J9" s="14">
        <f t="shared" si="2"/>
        <v>73102.834947750045</v>
      </c>
      <c r="K9" s="14">
        <f t="shared" si="2"/>
        <v>68150.58892303126</v>
      </c>
      <c r="L9" s="14">
        <f t="shared" si="2"/>
        <v>62280.617398820716</v>
      </c>
    </row>
    <row r="10" spans="1:17" x14ac:dyDescent="0.3">
      <c r="B10" t="s">
        <v>196</v>
      </c>
      <c r="C10" s="59">
        <v>-4604</v>
      </c>
      <c r="D10" s="59">
        <v>-5022</v>
      </c>
      <c r="E10" s="59">
        <v>-4985</v>
      </c>
      <c r="F10" s="60">
        <v>-5242</v>
      </c>
      <c r="G10" s="60">
        <v>-5560</v>
      </c>
      <c r="H10" s="100">
        <f>'Dep &amp; Capex'!H9</f>
        <v>-6262.6693558765783</v>
      </c>
      <c r="I10" s="100">
        <f>'Dep &amp; Capex'!I9</f>
        <v>-7218.6995776659678</v>
      </c>
      <c r="J10" s="100">
        <f>'Dep &amp; Capex'!J9</f>
        <v>-8224.5759840158971</v>
      </c>
      <c r="K10" s="100">
        <f>'Dep &amp; Capex'!K9</f>
        <v>-9410.1683265330121</v>
      </c>
      <c r="L10" s="100">
        <f>'Dep &amp; Capex'!L9</f>
        <v>-11425.690637194803</v>
      </c>
    </row>
    <row r="11" spans="1:17" x14ac:dyDescent="0.3">
      <c r="A11" s="18"/>
      <c r="B11" s="21" t="s">
        <v>39</v>
      </c>
      <c r="C11" s="138">
        <f t="shared" ref="C11:F11" si="3">SUM(C9:C10)</f>
        <v>48453</v>
      </c>
      <c r="D11" s="138">
        <f t="shared" si="3"/>
        <v>54237</v>
      </c>
      <c r="E11" s="138">
        <f t="shared" si="3"/>
        <v>59311</v>
      </c>
      <c r="F11" s="139">
        <f t="shared" si="3"/>
        <v>62165</v>
      </c>
      <c r="G11" s="139">
        <f>SUM(G9:G10)</f>
        <v>66838</v>
      </c>
      <c r="H11" s="22">
        <f t="shared" ref="H11:L11" si="4">SUM(H9:H10)</f>
        <v>68413.865644123405</v>
      </c>
      <c r="I11" s="22">
        <f t="shared" si="4"/>
        <v>67740.162572334026</v>
      </c>
      <c r="J11" s="22">
        <f t="shared" si="4"/>
        <v>64878.258963734144</v>
      </c>
      <c r="K11" s="22">
        <f t="shared" si="4"/>
        <v>58740.420596498247</v>
      </c>
      <c r="L11" s="22">
        <f t="shared" si="4"/>
        <v>50854.926761625917</v>
      </c>
    </row>
    <row r="12" spans="1:17" x14ac:dyDescent="0.3">
      <c r="B12" t="s">
        <v>40</v>
      </c>
      <c r="C12" s="59">
        <v>4018</v>
      </c>
      <c r="D12" s="59">
        <v>3449</v>
      </c>
      <c r="E12" s="59">
        <v>4422</v>
      </c>
      <c r="F12" s="60">
        <v>3962</v>
      </c>
      <c r="G12" s="60">
        <v>4402</v>
      </c>
      <c r="H12" s="89">
        <f>G12</f>
        <v>4402</v>
      </c>
      <c r="I12" s="89">
        <f t="shared" ref="I12:L13" si="5">H12</f>
        <v>4402</v>
      </c>
      <c r="J12" s="89">
        <f t="shared" si="5"/>
        <v>4402</v>
      </c>
      <c r="K12" s="89">
        <f t="shared" si="5"/>
        <v>4402</v>
      </c>
      <c r="L12" s="89">
        <f t="shared" si="5"/>
        <v>4402</v>
      </c>
    </row>
    <row r="13" spans="1:17" x14ac:dyDescent="0.3">
      <c r="B13" s="19" t="s">
        <v>41</v>
      </c>
      <c r="C13" s="59">
        <v>-784</v>
      </c>
      <c r="D13" s="59">
        <v>-779</v>
      </c>
      <c r="E13" s="59">
        <v>-778</v>
      </c>
      <c r="F13" s="60">
        <v>-796</v>
      </c>
      <c r="G13" s="60">
        <v>-1227</v>
      </c>
      <c r="H13" s="75">
        <f>G13</f>
        <v>-1227</v>
      </c>
      <c r="I13" s="75">
        <f t="shared" si="5"/>
        <v>-1227</v>
      </c>
      <c r="J13" s="75">
        <f t="shared" si="5"/>
        <v>-1227</v>
      </c>
      <c r="K13" s="75">
        <f t="shared" si="5"/>
        <v>-1227</v>
      </c>
      <c r="L13" s="75">
        <f t="shared" si="5"/>
        <v>-1227</v>
      </c>
    </row>
    <row r="14" spans="1:17" x14ac:dyDescent="0.3">
      <c r="B14" s="2" t="s">
        <v>46</v>
      </c>
      <c r="C14" s="62">
        <f t="shared" ref="C14:F14" si="6">SUM(C11:C13)</f>
        <v>51687</v>
      </c>
      <c r="D14" s="62">
        <f t="shared" si="6"/>
        <v>56907</v>
      </c>
      <c r="E14" s="62">
        <f t="shared" si="6"/>
        <v>62955</v>
      </c>
      <c r="F14" s="63">
        <f t="shared" si="6"/>
        <v>65331</v>
      </c>
      <c r="G14" s="63">
        <f>SUM(G11:G13)</f>
        <v>70013</v>
      </c>
      <c r="H14" s="14">
        <f t="shared" ref="H14:L14" si="7">SUM(H11:H13)</f>
        <v>71588.865644123405</v>
      </c>
      <c r="I14" s="14">
        <f t="shared" si="7"/>
        <v>70915.162572334026</v>
      </c>
      <c r="J14" s="14">
        <f t="shared" si="7"/>
        <v>68053.258963734144</v>
      </c>
      <c r="K14" s="14">
        <f t="shared" si="7"/>
        <v>61915.420596498247</v>
      </c>
      <c r="L14" s="14">
        <f t="shared" si="7"/>
        <v>54029.926761625917</v>
      </c>
    </row>
    <row r="15" spans="1:17" x14ac:dyDescent="0.3">
      <c r="B15" s="19" t="s">
        <v>42</v>
      </c>
      <c r="C15" s="64"/>
      <c r="D15" s="62"/>
      <c r="E15" s="64"/>
      <c r="F15" s="65"/>
      <c r="G15" s="65"/>
    </row>
    <row r="16" spans="1:17" x14ac:dyDescent="0.3">
      <c r="B16" t="s">
        <v>43</v>
      </c>
      <c r="C16" s="59">
        <v>0</v>
      </c>
      <c r="D16" s="59">
        <v>0</v>
      </c>
      <c r="E16" s="59">
        <v>0</v>
      </c>
      <c r="F16" s="59">
        <v>0</v>
      </c>
      <c r="G16" s="60">
        <v>-1388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</row>
    <row r="17" spans="1:17" x14ac:dyDescent="0.3">
      <c r="B17" t="s">
        <v>44</v>
      </c>
      <c r="C17" s="59">
        <v>0</v>
      </c>
      <c r="D17" s="59">
        <v>0</v>
      </c>
      <c r="E17" s="59">
        <v>0</v>
      </c>
      <c r="F17" s="59">
        <v>0</v>
      </c>
      <c r="G17" s="60">
        <v>-2128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</row>
    <row r="18" spans="1:17" x14ac:dyDescent="0.3">
      <c r="B18" t="s">
        <v>45</v>
      </c>
      <c r="C18" s="59">
        <v>0</v>
      </c>
      <c r="D18" s="59">
        <v>0</v>
      </c>
      <c r="E18" s="59">
        <v>-958</v>
      </c>
      <c r="F18" s="59">
        <v>0</v>
      </c>
      <c r="G18" s="60">
        <v>-1010</v>
      </c>
      <c r="H18" s="89">
        <v>0</v>
      </c>
      <c r="I18" s="89">
        <v>0</v>
      </c>
      <c r="J18" s="89">
        <v>0</v>
      </c>
      <c r="K18" s="89">
        <v>0</v>
      </c>
      <c r="L18" s="89">
        <v>0</v>
      </c>
    </row>
    <row r="19" spans="1:17" x14ac:dyDescent="0.3">
      <c r="B19" s="2" t="s">
        <v>47</v>
      </c>
      <c r="C19" s="62">
        <f t="shared" ref="C19:F19" si="8">SUM(C14:C18)</f>
        <v>51687</v>
      </c>
      <c r="D19" s="62">
        <f t="shared" si="8"/>
        <v>56907</v>
      </c>
      <c r="E19" s="62">
        <f t="shared" si="8"/>
        <v>61997</v>
      </c>
      <c r="F19" s="63">
        <f t="shared" si="8"/>
        <v>65331</v>
      </c>
      <c r="G19" s="63">
        <f>SUM(G14:G18)</f>
        <v>65487</v>
      </c>
      <c r="H19" s="14">
        <f t="shared" ref="H19:L19" si="9">SUM(H14:H18)</f>
        <v>71588.865644123405</v>
      </c>
      <c r="I19" s="14">
        <f t="shared" si="9"/>
        <v>70915.162572334026</v>
      </c>
      <c r="J19" s="14">
        <f t="shared" si="9"/>
        <v>68053.258963734144</v>
      </c>
      <c r="K19" s="14">
        <f t="shared" si="9"/>
        <v>61915.420596498247</v>
      </c>
      <c r="L19" s="14">
        <f t="shared" si="9"/>
        <v>54029.926761625917</v>
      </c>
    </row>
    <row r="20" spans="1:17" x14ac:dyDescent="0.3">
      <c r="B20" t="s">
        <v>48</v>
      </c>
      <c r="C20" s="64"/>
      <c r="D20" s="64"/>
      <c r="E20" s="64"/>
      <c r="F20" s="65"/>
      <c r="G20" s="65"/>
    </row>
    <row r="21" spans="1:17" x14ac:dyDescent="0.3">
      <c r="B21" t="s">
        <v>49</v>
      </c>
      <c r="C21" s="59">
        <v>-13654</v>
      </c>
      <c r="D21" s="59">
        <v>-14757</v>
      </c>
      <c r="E21" s="59">
        <v>-15864</v>
      </c>
      <c r="F21" s="60">
        <v>-16910</v>
      </c>
      <c r="G21" s="60">
        <v>-16388</v>
      </c>
      <c r="H21" s="64">
        <f>-H19*H32</f>
        <v>-17526.902787915627</v>
      </c>
      <c r="I21" s="64">
        <f>-I19*I32</f>
        <v>-17361.961939350276</v>
      </c>
      <c r="J21" s="64">
        <f>-J19*J32</f>
        <v>-16661.290041772405</v>
      </c>
      <c r="K21" s="64">
        <f>-K19*K32</f>
        <v>-15158.580152147089</v>
      </c>
      <c r="L21" s="64">
        <f>-L19*L32</f>
        <v>-13227.996637029462</v>
      </c>
    </row>
    <row r="22" spans="1:17" x14ac:dyDescent="0.3">
      <c r="B22" t="s">
        <v>50</v>
      </c>
      <c r="C22" s="59">
        <v>416</v>
      </c>
      <c r="D22" s="59">
        <v>153</v>
      </c>
      <c r="E22" s="59">
        <v>-34</v>
      </c>
      <c r="F22" s="60">
        <v>376</v>
      </c>
      <c r="G22" s="60">
        <v>355</v>
      </c>
      <c r="H22" s="65">
        <f>G22</f>
        <v>355</v>
      </c>
      <c r="I22" s="65">
        <f t="shared" ref="I22:L22" si="10">H22</f>
        <v>355</v>
      </c>
      <c r="J22" s="65">
        <f t="shared" si="10"/>
        <v>355</v>
      </c>
      <c r="K22" s="65">
        <f t="shared" si="10"/>
        <v>355</v>
      </c>
      <c r="L22" s="65">
        <f t="shared" si="10"/>
        <v>355</v>
      </c>
    </row>
    <row r="23" spans="1:17" x14ac:dyDescent="0.3">
      <c r="A23" s="18"/>
      <c r="B23" s="21" t="s">
        <v>51</v>
      </c>
      <c r="C23" s="138">
        <f t="shared" ref="C23:F23" si="11">SUM(C19:C22)</f>
        <v>38449</v>
      </c>
      <c r="D23" s="138">
        <f t="shared" si="11"/>
        <v>42303</v>
      </c>
      <c r="E23" s="138">
        <f t="shared" si="11"/>
        <v>46099</v>
      </c>
      <c r="F23" s="139">
        <f t="shared" si="11"/>
        <v>48797</v>
      </c>
      <c r="G23" s="139">
        <f>SUM(G19:G22)</f>
        <v>49454</v>
      </c>
      <c r="H23" s="22">
        <f t="shared" ref="H23:L23" si="12">SUM(H19:H22)</f>
        <v>54416.962856207778</v>
      </c>
      <c r="I23" s="22">
        <f t="shared" si="12"/>
        <v>53908.200632983746</v>
      </c>
      <c r="J23" s="22">
        <f t="shared" si="12"/>
        <v>51746.968921961743</v>
      </c>
      <c r="K23" s="22">
        <f t="shared" si="12"/>
        <v>47111.840444351154</v>
      </c>
      <c r="L23" s="22">
        <f t="shared" si="12"/>
        <v>41156.930124596453</v>
      </c>
      <c r="M23" s="40"/>
    </row>
    <row r="24" spans="1:17" x14ac:dyDescent="0.3">
      <c r="B24" t="s">
        <v>191</v>
      </c>
      <c r="C24" s="59">
        <v>-95</v>
      </c>
      <c r="D24" s="59">
        <v>492</v>
      </c>
      <c r="E24" s="59">
        <v>237</v>
      </c>
      <c r="F24" s="59">
        <v>589</v>
      </c>
      <c r="G24" s="60">
        <v>2750</v>
      </c>
      <c r="H24" s="89">
        <f>G24</f>
        <v>2750</v>
      </c>
      <c r="I24" s="89">
        <f t="shared" ref="I24:L24" si="13">H24</f>
        <v>2750</v>
      </c>
      <c r="J24" s="89">
        <f t="shared" si="13"/>
        <v>2750</v>
      </c>
      <c r="K24" s="89">
        <f t="shared" si="13"/>
        <v>2750</v>
      </c>
      <c r="L24" s="89">
        <f t="shared" si="13"/>
        <v>2750</v>
      </c>
    </row>
    <row r="25" spans="1:17" x14ac:dyDescent="0.3">
      <c r="A25" s="42"/>
      <c r="B25" s="1" t="s">
        <v>192</v>
      </c>
      <c r="C25" s="79">
        <f>SUM(C23:C24)</f>
        <v>38354</v>
      </c>
      <c r="D25" s="79">
        <f t="shared" ref="D25:L25" si="14">SUM(D23:D24)</f>
        <v>42795</v>
      </c>
      <c r="E25" s="79">
        <f t="shared" si="14"/>
        <v>46336</v>
      </c>
      <c r="F25" s="79">
        <f t="shared" si="14"/>
        <v>49386</v>
      </c>
      <c r="G25" s="79">
        <f t="shared" si="14"/>
        <v>52204</v>
      </c>
      <c r="H25" s="33">
        <f t="shared" si="14"/>
        <v>57166.962856207778</v>
      </c>
      <c r="I25" s="33">
        <f t="shared" si="14"/>
        <v>56658.200632983746</v>
      </c>
      <c r="J25" s="33">
        <f t="shared" si="14"/>
        <v>54496.968921961743</v>
      </c>
      <c r="K25" s="33">
        <f t="shared" si="14"/>
        <v>49861.840444351154</v>
      </c>
      <c r="L25" s="33">
        <f t="shared" si="14"/>
        <v>43906.930124596453</v>
      </c>
      <c r="M25" s="53"/>
      <c r="N25" s="53"/>
      <c r="O25" s="53"/>
      <c r="P25" s="53"/>
      <c r="Q25" s="53"/>
    </row>
    <row r="26" spans="1:17" x14ac:dyDescent="0.3">
      <c r="B26" s="2" t="s">
        <v>201</v>
      </c>
      <c r="C26" s="62"/>
      <c r="D26" s="62"/>
      <c r="E26" s="62"/>
      <c r="F26" s="62"/>
      <c r="G26" s="62"/>
      <c r="H26" s="34"/>
      <c r="I26" s="34"/>
      <c r="J26" s="34"/>
      <c r="K26" s="34"/>
      <c r="L26" s="34"/>
      <c r="M26" s="53"/>
    </row>
    <row r="27" spans="1:17" x14ac:dyDescent="0.3">
      <c r="B27" s="19" t="s">
        <v>198</v>
      </c>
      <c r="C27" s="75">
        <f>-'Cash Flows '!C61</f>
        <v>13317</v>
      </c>
      <c r="D27" s="75">
        <f>-'Cash Flows '!D61</f>
        <v>41347</v>
      </c>
      <c r="E27" s="75">
        <f>-'Cash Flows '!E61</f>
        <v>25137</v>
      </c>
      <c r="F27" s="75">
        <f>-'Cash Flows '!F61</f>
        <v>44864</v>
      </c>
      <c r="G27" s="75">
        <f>-'Cash Flows '!G61</f>
        <v>39437</v>
      </c>
      <c r="H27" s="32">
        <f>H30*H28</f>
        <v>43394.705466903913</v>
      </c>
      <c r="I27" s="32">
        <f t="shared" ref="I27:L27" si="15">I30*I28</f>
        <v>42988.993981537991</v>
      </c>
      <c r="J27" s="32">
        <f t="shared" si="15"/>
        <v>41265.523787265032</v>
      </c>
      <c r="K27" s="32">
        <f t="shared" si="15"/>
        <v>37569.249233709634</v>
      </c>
      <c r="L27" s="32">
        <f t="shared" si="15"/>
        <v>32820.517113352005</v>
      </c>
      <c r="M27" s="40"/>
    </row>
    <row r="28" spans="1:17" x14ac:dyDescent="0.3">
      <c r="B28" t="s">
        <v>193</v>
      </c>
      <c r="C28" s="76">
        <v>369.8</v>
      </c>
      <c r="D28" s="76">
        <v>365.9</v>
      </c>
      <c r="E28" s="76">
        <v>364.6</v>
      </c>
      <c r="F28" s="76">
        <v>361.8</v>
      </c>
      <c r="G28" s="76">
        <v>361.8</v>
      </c>
      <c r="H28" s="30">
        <f>G28</f>
        <v>361.8</v>
      </c>
      <c r="I28" s="30">
        <f t="shared" ref="I28:L28" si="16">H28</f>
        <v>361.8</v>
      </c>
      <c r="J28" s="30">
        <f t="shared" si="16"/>
        <v>361.8</v>
      </c>
      <c r="K28" s="30">
        <f t="shared" si="16"/>
        <v>361.8</v>
      </c>
      <c r="L28" s="30">
        <f t="shared" si="16"/>
        <v>361.8</v>
      </c>
    </row>
    <row r="29" spans="1:17" x14ac:dyDescent="0.3">
      <c r="B29" t="s">
        <v>194</v>
      </c>
      <c r="C29" s="76">
        <v>103.62</v>
      </c>
      <c r="D29" s="76">
        <v>115.19</v>
      </c>
      <c r="E29" s="76">
        <v>125.8</v>
      </c>
      <c r="F29" s="76">
        <v>134.19</v>
      </c>
      <c r="G29" s="76">
        <v>136.01</v>
      </c>
      <c r="H29" s="123">
        <f>H23/H28</f>
        <v>150.40619916033106</v>
      </c>
      <c r="I29" s="123">
        <f t="shared" ref="I29:L29" si="17">I23/I28</f>
        <v>149.00000174954047</v>
      </c>
      <c r="J29" s="123">
        <f t="shared" si="17"/>
        <v>143.02644809829116</v>
      </c>
      <c r="K29" s="123">
        <f t="shared" si="17"/>
        <v>130.21514771794128</v>
      </c>
      <c r="L29" s="123">
        <f t="shared" si="17"/>
        <v>113.75602577279284</v>
      </c>
    </row>
    <row r="30" spans="1:17" x14ac:dyDescent="0.3">
      <c r="B30" s="19" t="s">
        <v>199</v>
      </c>
      <c r="C30" s="30">
        <f>C27/C28</f>
        <v>36.011357490535424</v>
      </c>
      <c r="D30" s="30">
        <f t="shared" ref="D30:G30" si="18">D27/D28</f>
        <v>113.0008198961465</v>
      </c>
      <c r="E30" s="30">
        <f t="shared" si="18"/>
        <v>68.944048272078987</v>
      </c>
      <c r="F30" s="30">
        <f t="shared" si="18"/>
        <v>124.00221116639027</v>
      </c>
      <c r="G30" s="30">
        <f t="shared" si="18"/>
        <v>109.00221116639027</v>
      </c>
      <c r="H30" s="123">
        <f>H29*G31</f>
        <v>119.94114280515177</v>
      </c>
      <c r="I30" s="123">
        <f t="shared" ref="I30:L30" si="19">I29*H31</f>
        <v>118.81977330441678</v>
      </c>
      <c r="J30" s="123">
        <f t="shared" si="19"/>
        <v>114.05617409415431</v>
      </c>
      <c r="K30" s="123">
        <f t="shared" si="19"/>
        <v>103.83982651661037</v>
      </c>
      <c r="L30" s="123">
        <f t="shared" si="19"/>
        <v>90.714530440442246</v>
      </c>
    </row>
    <row r="31" spans="1:17" x14ac:dyDescent="0.3">
      <c r="A31" s="42"/>
      <c r="B31" s="80" t="s">
        <v>200</v>
      </c>
      <c r="C31" s="81">
        <f>C27/C23</f>
        <v>0.34635491170121457</v>
      </c>
      <c r="D31" s="81">
        <f t="shared" ref="D31:L31" si="20">D27/D23</f>
        <v>0.97740112994350281</v>
      </c>
      <c r="E31" s="81">
        <f t="shared" si="20"/>
        <v>0.54528297793878389</v>
      </c>
      <c r="F31" s="81">
        <f t="shared" si="20"/>
        <v>0.91940078283501037</v>
      </c>
      <c r="G31" s="81">
        <f t="shared" si="20"/>
        <v>0.79744813361912081</v>
      </c>
      <c r="H31" s="81">
        <f t="shared" si="20"/>
        <v>0.79744813361912081</v>
      </c>
      <c r="I31" s="81">
        <f t="shared" si="20"/>
        <v>0.7974481336191207</v>
      </c>
      <c r="J31" s="81">
        <f t="shared" si="20"/>
        <v>0.7974481336191207</v>
      </c>
      <c r="K31" s="81">
        <f t="shared" si="20"/>
        <v>0.7974481336191207</v>
      </c>
      <c r="L31" s="81">
        <f t="shared" si="20"/>
        <v>0.7974481336191207</v>
      </c>
    </row>
    <row r="32" spans="1:17" x14ac:dyDescent="0.3">
      <c r="B32" s="82" t="s">
        <v>202</v>
      </c>
      <c r="C32" s="78">
        <f>-SUM(C21:C22)/C19</f>
        <v>0.25611855979259773</v>
      </c>
      <c r="D32" s="78">
        <f t="shared" ref="D32:G32" si="21">-SUM(D21:D22)/D19</f>
        <v>0.25662923717644576</v>
      </c>
      <c r="E32" s="78">
        <f t="shared" si="21"/>
        <v>0.25643176282723357</v>
      </c>
      <c r="F32" s="78">
        <f t="shared" si="21"/>
        <v>0.25308046715954141</v>
      </c>
      <c r="G32" s="78">
        <f t="shared" si="21"/>
        <v>0.24482721761571</v>
      </c>
      <c r="H32" s="78">
        <f>G32</f>
        <v>0.24482721761571</v>
      </c>
      <c r="I32" s="78">
        <f t="shared" ref="I32:L32" si="22">H32</f>
        <v>0.24482721761571</v>
      </c>
      <c r="J32" s="78">
        <f t="shared" si="22"/>
        <v>0.24482721761571</v>
      </c>
      <c r="K32" s="78">
        <f t="shared" si="22"/>
        <v>0.24482721761571</v>
      </c>
      <c r="L32" s="78">
        <f t="shared" si="22"/>
        <v>0.24482721761571</v>
      </c>
    </row>
    <row r="33" spans="3:12" x14ac:dyDescent="0.3">
      <c r="C33" s="64"/>
      <c r="D33" s="64"/>
      <c r="E33" s="64"/>
      <c r="F33" s="64"/>
      <c r="G33" s="64"/>
      <c r="H33" s="51"/>
      <c r="I33" s="51"/>
      <c r="J33" s="51"/>
      <c r="K33" s="51"/>
      <c r="L33" s="51"/>
    </row>
    <row r="34" spans="3:12" x14ac:dyDescent="0.3">
      <c r="C34" s="32"/>
      <c r="D34" s="32"/>
      <c r="E34" s="32"/>
    </row>
  </sheetData>
  <mergeCells count="2">
    <mergeCell ref="C1:G1"/>
    <mergeCell ref="H1:L1"/>
  </mergeCells>
  <conditionalFormatting sqref="H3:L7">
    <cfRule type="expression" priority="1">
      <formula>ISNUMBER(SEARCH("!", _xlfn.FORMULATEXT(B2)))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9064-4C60-4ABD-8646-68AA790C475B}">
  <dimension ref="A1:R59"/>
  <sheetViews>
    <sheetView showGridLines="0" workbookViewId="0">
      <pane xSplit="2" ySplit="2" topLeftCell="C47" activePane="bottomRight" state="frozen"/>
      <selection pane="topRight" activeCell="C1" sqref="C1"/>
      <selection pane="bottomLeft" activeCell="A3" sqref="A3"/>
      <selection pane="bottomRight" activeCell="D70" sqref="D70"/>
    </sheetView>
  </sheetViews>
  <sheetFormatPr defaultRowHeight="14.4" x14ac:dyDescent="0.3"/>
  <cols>
    <col min="1" max="1" width="3.109375" customWidth="1"/>
    <col min="2" max="2" width="42.88671875" bestFit="1" customWidth="1"/>
    <col min="3" max="6" width="9" bestFit="1" customWidth="1"/>
    <col min="7" max="7" width="10" bestFit="1" customWidth="1"/>
    <col min="8" max="12" width="9" bestFit="1" customWidth="1"/>
    <col min="13" max="16384" width="8.88671875" style="11"/>
  </cols>
  <sheetData>
    <row r="1" spans="1:14" ht="20.399999999999999" thickBot="1" x14ac:dyDescent="0.45">
      <c r="B1" s="8" t="s">
        <v>0</v>
      </c>
      <c r="C1" s="237" t="s">
        <v>16</v>
      </c>
      <c r="D1" s="237"/>
      <c r="E1" s="237"/>
      <c r="F1" s="237"/>
      <c r="G1" s="237"/>
      <c r="H1" s="238" t="s">
        <v>17</v>
      </c>
      <c r="I1" s="238"/>
      <c r="J1" s="238"/>
      <c r="K1" s="238"/>
      <c r="L1" s="238"/>
    </row>
    <row r="2" spans="1:14" x14ac:dyDescent="0.3">
      <c r="B2" s="18" t="s">
        <v>27</v>
      </c>
      <c r="C2" s="17" t="s">
        <v>18</v>
      </c>
      <c r="D2" s="17" t="s">
        <v>28</v>
      </c>
      <c r="E2" s="17" t="s">
        <v>19</v>
      </c>
      <c r="F2" s="17" t="s">
        <v>20</v>
      </c>
      <c r="G2" s="17" t="s">
        <v>21</v>
      </c>
      <c r="H2" s="17" t="s">
        <v>22</v>
      </c>
      <c r="I2" s="17" t="s">
        <v>23</v>
      </c>
      <c r="J2" s="17" t="s">
        <v>24</v>
      </c>
      <c r="K2" s="17" t="s">
        <v>25</v>
      </c>
      <c r="L2" s="17" t="s">
        <v>26</v>
      </c>
    </row>
    <row r="3" spans="1:14" x14ac:dyDescent="0.3">
      <c r="B3" s="2" t="s">
        <v>52</v>
      </c>
    </row>
    <row r="4" spans="1:14" x14ac:dyDescent="0.3">
      <c r="B4" t="s">
        <v>53</v>
      </c>
      <c r="C4" s="37">
        <v>12488</v>
      </c>
      <c r="D4" s="37">
        <v>7123</v>
      </c>
      <c r="E4" s="37">
        <v>9016</v>
      </c>
      <c r="F4" s="15">
        <v>8342</v>
      </c>
      <c r="G4" s="15">
        <v>6417</v>
      </c>
      <c r="H4" s="127">
        <f>'Cash Flows '!H76</f>
        <v>21090.708001344814</v>
      </c>
      <c r="I4" s="127">
        <f>'Cash Flows '!I76</f>
        <v>33148.180997935975</v>
      </c>
      <c r="J4" s="127">
        <f>'Cash Flows '!J76</f>
        <v>45714.785525395164</v>
      </c>
      <c r="K4" s="127">
        <f>'Cash Flows '!K76</f>
        <v>57061.387161528663</v>
      </c>
      <c r="L4" s="127">
        <f>'Cash Flows '!L76</f>
        <v>68763.715770941431</v>
      </c>
      <c r="N4" s="40"/>
    </row>
    <row r="5" spans="1:14" x14ac:dyDescent="0.3">
      <c r="B5" t="s">
        <v>54</v>
      </c>
      <c r="C5" s="37">
        <v>5733</v>
      </c>
      <c r="D5" s="37">
        <v>3909</v>
      </c>
      <c r="E5" s="37">
        <v>4270</v>
      </c>
      <c r="F5" s="15">
        <v>7121</v>
      </c>
      <c r="G5" s="15">
        <v>6491</v>
      </c>
      <c r="H5" s="12">
        <f>G5</f>
        <v>6491</v>
      </c>
      <c r="I5" s="12">
        <f t="shared" ref="I5:L5" si="0">H5</f>
        <v>6491</v>
      </c>
      <c r="J5" s="12">
        <f t="shared" si="0"/>
        <v>6491</v>
      </c>
      <c r="K5" s="12">
        <f t="shared" si="0"/>
        <v>6491</v>
      </c>
      <c r="L5" s="12">
        <f t="shared" si="0"/>
        <v>6491</v>
      </c>
    </row>
    <row r="6" spans="1:14" x14ac:dyDescent="0.3">
      <c r="B6" s="19" t="s">
        <v>55</v>
      </c>
      <c r="C6" s="37">
        <v>41810</v>
      </c>
      <c r="D6" s="37">
        <v>49954</v>
      </c>
      <c r="E6" s="37">
        <v>53577</v>
      </c>
      <c r="F6" s="37">
        <v>59046</v>
      </c>
      <c r="G6" s="37">
        <v>67714</v>
      </c>
      <c r="H6" s="87">
        <f>'Working Cap'!H6</f>
        <v>66007.321712328776</v>
      </c>
      <c r="I6" s="87">
        <f>'Working Cap'!I6</f>
        <v>69646.672839726045</v>
      </c>
      <c r="J6" s="87">
        <f>'Working Cap'!J6</f>
        <v>73095.913503904128</v>
      </c>
      <c r="K6" s="87">
        <f>'Working Cap'!K6</f>
        <v>76163.162499434402</v>
      </c>
      <c r="L6" s="87">
        <f>'Working Cap'!L6</f>
        <v>79390.512258136951</v>
      </c>
      <c r="N6" s="53"/>
    </row>
    <row r="7" spans="1:14" x14ac:dyDescent="0.3">
      <c r="B7" t="s">
        <v>56</v>
      </c>
      <c r="C7" s="37">
        <v>30262</v>
      </c>
      <c r="D7" s="37">
        <v>36897</v>
      </c>
      <c r="E7" s="37">
        <v>31481</v>
      </c>
      <c r="F7" s="15">
        <v>30689</v>
      </c>
      <c r="G7" s="15">
        <v>33770</v>
      </c>
      <c r="H7" s="12">
        <f>G7</f>
        <v>33770</v>
      </c>
      <c r="I7" s="12">
        <f t="shared" ref="I7:L7" si="1">H7</f>
        <v>33770</v>
      </c>
      <c r="J7" s="12">
        <f t="shared" si="1"/>
        <v>33770</v>
      </c>
      <c r="K7" s="12">
        <f t="shared" si="1"/>
        <v>33770</v>
      </c>
      <c r="L7" s="12">
        <f t="shared" si="1"/>
        <v>33770</v>
      </c>
    </row>
    <row r="8" spans="1:14" x14ac:dyDescent="0.3">
      <c r="B8" t="s">
        <v>57</v>
      </c>
      <c r="C8" s="37">
        <v>6445</v>
      </c>
      <c r="D8" s="37">
        <v>1325</v>
      </c>
      <c r="E8" s="37">
        <v>491</v>
      </c>
      <c r="F8" s="15">
        <v>9</v>
      </c>
      <c r="G8" s="15">
        <v>1659</v>
      </c>
      <c r="H8" s="12">
        <f>G8</f>
        <v>1659</v>
      </c>
      <c r="I8" s="12">
        <f t="shared" ref="I8:L8" si="2">H8</f>
        <v>1659</v>
      </c>
      <c r="J8" s="12">
        <f t="shared" si="2"/>
        <v>1659</v>
      </c>
      <c r="K8" s="12">
        <f t="shared" si="2"/>
        <v>1659</v>
      </c>
      <c r="L8" s="12">
        <f t="shared" si="2"/>
        <v>1659</v>
      </c>
    </row>
    <row r="9" spans="1:14" x14ac:dyDescent="0.3">
      <c r="B9" t="s">
        <v>58</v>
      </c>
      <c r="C9" s="37">
        <v>1390</v>
      </c>
      <c r="D9" s="37">
        <v>1319</v>
      </c>
      <c r="E9" s="37">
        <v>1703</v>
      </c>
      <c r="F9" s="15">
        <v>2742</v>
      </c>
      <c r="G9" s="15">
        <v>1833</v>
      </c>
      <c r="H9" s="12">
        <f>G9</f>
        <v>1833</v>
      </c>
      <c r="I9" s="12">
        <f t="shared" ref="I9:L9" si="3">H9</f>
        <v>1833</v>
      </c>
      <c r="J9" s="12">
        <f t="shared" si="3"/>
        <v>1833</v>
      </c>
      <c r="K9" s="12">
        <f t="shared" si="3"/>
        <v>1833</v>
      </c>
      <c r="L9" s="12">
        <f t="shared" si="3"/>
        <v>1833</v>
      </c>
    </row>
    <row r="10" spans="1:14" x14ac:dyDescent="0.3">
      <c r="B10" t="s">
        <v>59</v>
      </c>
      <c r="C10" s="37">
        <v>11</v>
      </c>
      <c r="D10" s="37">
        <v>8</v>
      </c>
      <c r="E10" s="37">
        <v>151</v>
      </c>
      <c r="F10" s="15">
        <v>257</v>
      </c>
      <c r="G10" s="15">
        <v>1259</v>
      </c>
      <c r="H10" s="12">
        <f>G10</f>
        <v>1259</v>
      </c>
      <c r="I10" s="12">
        <f t="shared" ref="I10:L10" si="4">H10</f>
        <v>1259</v>
      </c>
      <c r="J10" s="12">
        <f t="shared" si="4"/>
        <v>1259</v>
      </c>
      <c r="K10" s="12">
        <f t="shared" si="4"/>
        <v>1259</v>
      </c>
      <c r="L10" s="12">
        <f t="shared" si="4"/>
        <v>1259</v>
      </c>
    </row>
    <row r="11" spans="1:14" x14ac:dyDescent="0.3">
      <c r="B11" t="s">
        <v>60</v>
      </c>
      <c r="C11" s="37">
        <v>10151</v>
      </c>
      <c r="D11" s="37">
        <v>9707</v>
      </c>
      <c r="E11" s="37">
        <v>12267</v>
      </c>
      <c r="F11" s="15">
        <v>14784</v>
      </c>
      <c r="G11" s="15">
        <v>16533</v>
      </c>
      <c r="H11" s="12">
        <f>G11</f>
        <v>16533</v>
      </c>
      <c r="I11" s="12">
        <f t="shared" ref="I11:L12" si="5">H11</f>
        <v>16533</v>
      </c>
      <c r="J11" s="12">
        <f t="shared" si="5"/>
        <v>16533</v>
      </c>
      <c r="K11" s="12">
        <f t="shared" si="5"/>
        <v>16533</v>
      </c>
      <c r="L11" s="12">
        <f t="shared" si="5"/>
        <v>16533</v>
      </c>
    </row>
    <row r="12" spans="1:14" x14ac:dyDescent="0.3">
      <c r="B12" t="s">
        <v>61</v>
      </c>
      <c r="C12" s="37">
        <v>20</v>
      </c>
      <c r="D12" s="37">
        <v>28</v>
      </c>
      <c r="E12" s="37">
        <v>28</v>
      </c>
      <c r="F12" s="29">
        <v>21</v>
      </c>
      <c r="G12" s="29">
        <v>29</v>
      </c>
      <c r="H12" s="86">
        <v>30</v>
      </c>
      <c r="I12" s="86">
        <f t="shared" si="5"/>
        <v>30</v>
      </c>
      <c r="J12" s="86">
        <f t="shared" si="5"/>
        <v>30</v>
      </c>
      <c r="K12" s="86">
        <f t="shared" si="5"/>
        <v>30</v>
      </c>
      <c r="L12" s="86">
        <f t="shared" si="5"/>
        <v>30</v>
      </c>
      <c r="M12" s="53"/>
    </row>
    <row r="13" spans="1:14" x14ac:dyDescent="0.3">
      <c r="A13">
        <v>1</v>
      </c>
      <c r="B13" s="1" t="s">
        <v>62</v>
      </c>
      <c r="C13" s="33">
        <f>SUM(C4:C12)</f>
        <v>108310</v>
      </c>
      <c r="D13" s="33">
        <f t="shared" ref="D13:L13" si="6">SUM(D4:D12)</f>
        <v>110270</v>
      </c>
      <c r="E13" s="33">
        <f t="shared" si="6"/>
        <v>112984</v>
      </c>
      <c r="F13" s="33">
        <f t="shared" si="6"/>
        <v>123011</v>
      </c>
      <c r="G13" s="33">
        <f t="shared" si="6"/>
        <v>135705</v>
      </c>
      <c r="H13" s="33">
        <f t="shared" si="6"/>
        <v>148673.02971367358</v>
      </c>
      <c r="I13" s="33">
        <f t="shared" si="6"/>
        <v>164369.85383766203</v>
      </c>
      <c r="J13" s="33">
        <f t="shared" si="6"/>
        <v>180385.69902929929</v>
      </c>
      <c r="K13" s="33">
        <f t="shared" si="6"/>
        <v>194799.54966096306</v>
      </c>
      <c r="L13" s="33">
        <f t="shared" si="6"/>
        <v>209729.2280290784</v>
      </c>
    </row>
    <row r="14" spans="1:14" x14ac:dyDescent="0.3">
      <c r="B14" s="2" t="s">
        <v>63</v>
      </c>
      <c r="C14" s="32"/>
      <c r="D14" s="32"/>
      <c r="E14" s="32"/>
    </row>
    <row r="15" spans="1:14" x14ac:dyDescent="0.3">
      <c r="B15" t="s">
        <v>64</v>
      </c>
      <c r="C15" s="37">
        <v>10774</v>
      </c>
      <c r="D15" s="37">
        <v>10230</v>
      </c>
      <c r="E15" s="37">
        <v>9376</v>
      </c>
      <c r="F15" s="15">
        <v>10978</v>
      </c>
      <c r="G15" s="15">
        <v>11032</v>
      </c>
      <c r="H15" s="87">
        <f>'Dep &amp; Capex'!H11</f>
        <v>10438.194744123421</v>
      </c>
      <c r="I15" s="87">
        <f>'Dep &amp; Capex'!I11</f>
        <v>9200.9153044574523</v>
      </c>
      <c r="J15" s="87">
        <f>'Dep &amp; Capex'!J11</f>
        <v>7253.9883625415569</v>
      </c>
      <c r="K15" s="87">
        <f>'Dep &amp; Capex'!K11</f>
        <v>6020.1595396242974</v>
      </c>
      <c r="L15" s="87">
        <f>'Dep &amp; Capex'!L11</f>
        <v>3117.2738948471379</v>
      </c>
    </row>
    <row r="16" spans="1:14" x14ac:dyDescent="0.3">
      <c r="B16" t="s">
        <v>65</v>
      </c>
      <c r="C16" s="37">
        <v>1205</v>
      </c>
      <c r="D16" s="37">
        <v>1234</v>
      </c>
      <c r="E16" s="37">
        <v>1564</v>
      </c>
      <c r="F16" s="15">
        <v>1546</v>
      </c>
      <c r="G16" s="15">
        <v>2665</v>
      </c>
      <c r="H16" s="12">
        <f t="shared" ref="H16:H26" si="7">G16</f>
        <v>2665</v>
      </c>
      <c r="I16" s="12">
        <f t="shared" ref="I16:L16" si="8">H16</f>
        <v>2665</v>
      </c>
      <c r="J16" s="12">
        <f t="shared" si="8"/>
        <v>2665</v>
      </c>
      <c r="K16" s="12">
        <f t="shared" si="8"/>
        <v>2665</v>
      </c>
      <c r="L16" s="12">
        <f t="shared" si="8"/>
        <v>2665</v>
      </c>
      <c r="M16" s="50"/>
    </row>
    <row r="17" spans="1:17" x14ac:dyDescent="0.3">
      <c r="B17" t="s">
        <v>66</v>
      </c>
      <c r="C17" s="37">
        <v>7636</v>
      </c>
      <c r="D17" s="37">
        <v>7560</v>
      </c>
      <c r="E17" s="37">
        <v>7886</v>
      </c>
      <c r="F17" s="15">
        <v>9275</v>
      </c>
      <c r="G17" s="15">
        <v>11027</v>
      </c>
      <c r="H17" s="12">
        <f t="shared" si="7"/>
        <v>11027</v>
      </c>
      <c r="I17" s="12">
        <f t="shared" ref="I17:L17" si="9">H17</f>
        <v>11027</v>
      </c>
      <c r="J17" s="12">
        <f t="shared" si="9"/>
        <v>11027</v>
      </c>
      <c r="K17" s="12">
        <f t="shared" si="9"/>
        <v>11027</v>
      </c>
      <c r="L17" s="12">
        <f t="shared" si="9"/>
        <v>11027</v>
      </c>
      <c r="M17" s="50"/>
    </row>
    <row r="18" spans="1:17" x14ac:dyDescent="0.3">
      <c r="B18" t="s">
        <v>67</v>
      </c>
      <c r="C18" s="37">
        <v>1787</v>
      </c>
      <c r="D18" s="37">
        <v>1858</v>
      </c>
      <c r="E18" s="37">
        <v>1832</v>
      </c>
      <c r="F18" s="15">
        <v>1860</v>
      </c>
      <c r="G18" s="15">
        <v>9108</v>
      </c>
      <c r="H18" s="12">
        <f t="shared" si="7"/>
        <v>9108</v>
      </c>
      <c r="I18" s="12">
        <f t="shared" ref="I18:L19" si="10">H18</f>
        <v>9108</v>
      </c>
      <c r="J18" s="12">
        <f t="shared" si="10"/>
        <v>9108</v>
      </c>
      <c r="K18" s="12">
        <f t="shared" si="10"/>
        <v>9108</v>
      </c>
      <c r="L18" s="12">
        <f t="shared" si="10"/>
        <v>9108</v>
      </c>
    </row>
    <row r="19" spans="1:17" x14ac:dyDescent="0.3">
      <c r="B19" t="s">
        <v>68</v>
      </c>
      <c r="C19" s="37">
        <v>1101</v>
      </c>
      <c r="D19" s="37">
        <v>867</v>
      </c>
      <c r="E19" s="37">
        <v>510</v>
      </c>
      <c r="F19" s="15">
        <v>940</v>
      </c>
      <c r="G19" s="29">
        <v>176</v>
      </c>
      <c r="H19">
        <f>G19</f>
        <v>176</v>
      </c>
      <c r="I19">
        <f t="shared" si="10"/>
        <v>176</v>
      </c>
      <c r="J19">
        <f t="shared" si="10"/>
        <v>176</v>
      </c>
      <c r="K19">
        <f t="shared" si="10"/>
        <v>176</v>
      </c>
      <c r="L19">
        <f t="shared" si="10"/>
        <v>176</v>
      </c>
    </row>
    <row r="20" spans="1:17" x14ac:dyDescent="0.3">
      <c r="B20" t="s">
        <v>56</v>
      </c>
      <c r="C20" s="37">
        <v>223</v>
      </c>
      <c r="D20" s="37">
        <v>266</v>
      </c>
      <c r="E20" s="37">
        <v>281</v>
      </c>
      <c r="F20" s="15">
        <v>275</v>
      </c>
      <c r="G20" s="29">
        <v>218</v>
      </c>
      <c r="H20" s="12">
        <f t="shared" si="7"/>
        <v>218</v>
      </c>
      <c r="I20" s="12">
        <f t="shared" ref="I20:L20" si="11">H20</f>
        <v>218</v>
      </c>
      <c r="J20" s="12">
        <f t="shared" si="11"/>
        <v>218</v>
      </c>
      <c r="K20" s="12">
        <f t="shared" si="11"/>
        <v>218</v>
      </c>
      <c r="L20" s="12">
        <f t="shared" si="11"/>
        <v>218</v>
      </c>
      <c r="M20" s="50"/>
    </row>
    <row r="21" spans="1:17" x14ac:dyDescent="0.3">
      <c r="B21" t="s">
        <v>69</v>
      </c>
      <c r="C21" s="37">
        <v>200</v>
      </c>
      <c r="D21" s="37">
        <v>348</v>
      </c>
      <c r="E21" s="37">
        <v>143</v>
      </c>
      <c r="F21" s="37">
        <v>129</v>
      </c>
      <c r="G21" s="37">
        <v>213</v>
      </c>
      <c r="H21" s="94">
        <f t="shared" si="7"/>
        <v>213</v>
      </c>
      <c r="I21" s="94">
        <f t="shared" ref="I21:L21" si="12">H21</f>
        <v>213</v>
      </c>
      <c r="J21" s="94">
        <f t="shared" si="12"/>
        <v>213</v>
      </c>
      <c r="K21" s="94">
        <f t="shared" si="12"/>
        <v>213</v>
      </c>
      <c r="L21" s="94">
        <f t="shared" si="12"/>
        <v>213</v>
      </c>
    </row>
    <row r="22" spans="1:17" x14ac:dyDescent="0.3">
      <c r="B22" t="s">
        <v>57</v>
      </c>
      <c r="C22" s="37">
        <v>311</v>
      </c>
      <c r="D22" s="37">
        <v>173</v>
      </c>
      <c r="E22" s="37">
        <v>2</v>
      </c>
      <c r="F22" s="15">
        <v>25</v>
      </c>
      <c r="G22" s="29">
        <v>775</v>
      </c>
      <c r="H22" s="12">
        <f t="shared" si="7"/>
        <v>775</v>
      </c>
      <c r="I22" s="12">
        <f t="shared" ref="I22:L22" si="13">H22</f>
        <v>775</v>
      </c>
      <c r="J22" s="12">
        <f t="shared" si="13"/>
        <v>775</v>
      </c>
      <c r="K22" s="12">
        <f t="shared" si="13"/>
        <v>775</v>
      </c>
      <c r="L22" s="12">
        <f t="shared" si="13"/>
        <v>775</v>
      </c>
    </row>
    <row r="23" spans="1:17" x14ac:dyDescent="0.3">
      <c r="B23" t="s">
        <v>70</v>
      </c>
      <c r="C23" s="37">
        <v>2253</v>
      </c>
      <c r="D23" s="37">
        <v>2149</v>
      </c>
      <c r="E23" s="37">
        <v>3272</v>
      </c>
      <c r="F23" s="15">
        <v>2731</v>
      </c>
      <c r="G23" s="15">
        <v>2944</v>
      </c>
      <c r="H23" s="12">
        <f t="shared" si="7"/>
        <v>2944</v>
      </c>
      <c r="I23" s="12">
        <f t="shared" ref="I23:L23" si="14">H23</f>
        <v>2944</v>
      </c>
      <c r="J23" s="12">
        <f t="shared" si="14"/>
        <v>2944</v>
      </c>
      <c r="K23" s="12">
        <f t="shared" si="14"/>
        <v>2944</v>
      </c>
      <c r="L23" s="12">
        <f t="shared" si="14"/>
        <v>2944</v>
      </c>
    </row>
    <row r="24" spans="1:17" x14ac:dyDescent="0.3">
      <c r="B24" t="s">
        <v>71</v>
      </c>
      <c r="C24" s="37">
        <v>3708</v>
      </c>
      <c r="D24" s="37">
        <v>3307</v>
      </c>
      <c r="E24" s="37">
        <v>3403</v>
      </c>
      <c r="F24" s="15">
        <v>3578</v>
      </c>
      <c r="G24" s="15">
        <v>4465</v>
      </c>
      <c r="H24" s="12">
        <f t="shared" si="7"/>
        <v>4465</v>
      </c>
      <c r="I24" s="12">
        <f t="shared" ref="I24:L24" si="15">H24</f>
        <v>4465</v>
      </c>
      <c r="J24" s="12">
        <f t="shared" si="15"/>
        <v>4465</v>
      </c>
      <c r="K24" s="12">
        <f t="shared" si="15"/>
        <v>4465</v>
      </c>
      <c r="L24" s="12">
        <f t="shared" si="15"/>
        <v>4465</v>
      </c>
    </row>
    <row r="25" spans="1:17" x14ac:dyDescent="0.3">
      <c r="B25" t="s">
        <v>72</v>
      </c>
      <c r="C25" s="37">
        <v>1983</v>
      </c>
      <c r="D25" s="37">
        <v>2583</v>
      </c>
      <c r="E25" s="37">
        <v>1600</v>
      </c>
      <c r="F25" s="15">
        <v>1569</v>
      </c>
      <c r="G25" s="15">
        <v>1439</v>
      </c>
      <c r="H25" s="12">
        <f t="shared" si="7"/>
        <v>1439</v>
      </c>
      <c r="I25" s="12">
        <f t="shared" ref="I25:L25" si="16">H25</f>
        <v>1439</v>
      </c>
      <c r="J25" s="12">
        <f t="shared" si="16"/>
        <v>1439</v>
      </c>
      <c r="K25" s="12">
        <f t="shared" si="16"/>
        <v>1439</v>
      </c>
      <c r="L25" s="12">
        <f t="shared" si="16"/>
        <v>1439</v>
      </c>
    </row>
    <row r="26" spans="1:17" x14ac:dyDescent="0.3">
      <c r="B26" t="s">
        <v>73</v>
      </c>
      <c r="C26" s="37">
        <v>2023</v>
      </c>
      <c r="D26" s="37">
        <v>2806</v>
      </c>
      <c r="E26" s="37">
        <v>3596</v>
      </c>
      <c r="F26" s="15">
        <v>3712</v>
      </c>
      <c r="G26" s="15">
        <v>2605</v>
      </c>
      <c r="H26" s="12">
        <f t="shared" si="7"/>
        <v>2605</v>
      </c>
      <c r="I26" s="12">
        <f t="shared" ref="I26:L26" si="17">H26</f>
        <v>2605</v>
      </c>
      <c r="J26" s="12">
        <f t="shared" si="17"/>
        <v>2605</v>
      </c>
      <c r="K26" s="12">
        <f t="shared" si="17"/>
        <v>2605</v>
      </c>
      <c r="L26" s="12">
        <f t="shared" si="17"/>
        <v>2605</v>
      </c>
    </row>
    <row r="27" spans="1:17" x14ac:dyDescent="0.3">
      <c r="B27" s="1" t="s">
        <v>74</v>
      </c>
      <c r="C27" s="33">
        <f>SUM(C15:C26)</f>
        <v>33204</v>
      </c>
      <c r="D27" s="33">
        <f t="shared" ref="D27:L27" si="18">SUM(D15:D26)</f>
        <v>33381</v>
      </c>
      <c r="E27" s="33">
        <f t="shared" si="18"/>
        <v>33465</v>
      </c>
      <c r="F27" s="33">
        <f t="shared" si="18"/>
        <v>36618</v>
      </c>
      <c r="G27" s="33">
        <f t="shared" si="18"/>
        <v>46667</v>
      </c>
      <c r="H27" s="33">
        <f t="shared" si="18"/>
        <v>46073.194744123422</v>
      </c>
      <c r="I27" s="33">
        <f t="shared" si="18"/>
        <v>44835.915304457449</v>
      </c>
      <c r="J27" s="33">
        <f t="shared" si="18"/>
        <v>42888.988362541553</v>
      </c>
      <c r="K27" s="33">
        <f t="shared" si="18"/>
        <v>41655.159539624299</v>
      </c>
      <c r="L27" s="33">
        <f t="shared" si="18"/>
        <v>38752.273894847138</v>
      </c>
    </row>
    <row r="28" spans="1:17" x14ac:dyDescent="0.3">
      <c r="A28" s="18">
        <v>2</v>
      </c>
      <c r="B28" s="21" t="s">
        <v>75</v>
      </c>
      <c r="C28" s="35">
        <f t="shared" ref="C28:L28" si="19">C13+C27</f>
        <v>141514</v>
      </c>
      <c r="D28" s="35">
        <f t="shared" si="19"/>
        <v>143651</v>
      </c>
      <c r="E28" s="35">
        <f t="shared" si="19"/>
        <v>146449</v>
      </c>
      <c r="F28" s="22">
        <f t="shared" si="19"/>
        <v>159629</v>
      </c>
      <c r="G28" s="22">
        <f t="shared" si="19"/>
        <v>182372</v>
      </c>
      <c r="H28" s="22">
        <f t="shared" si="19"/>
        <v>194746.22445779701</v>
      </c>
      <c r="I28" s="22">
        <f t="shared" si="19"/>
        <v>209205.76914211948</v>
      </c>
      <c r="J28" s="22">
        <f t="shared" si="19"/>
        <v>223274.68739184085</v>
      </c>
      <c r="K28" s="22">
        <f t="shared" si="19"/>
        <v>236454.70920058736</v>
      </c>
      <c r="L28" s="22">
        <f t="shared" si="19"/>
        <v>248481.50192392553</v>
      </c>
      <c r="N28" s="74"/>
    </row>
    <row r="29" spans="1:17" x14ac:dyDescent="0.3">
      <c r="B29" s="2" t="s">
        <v>76</v>
      </c>
      <c r="C29" s="32"/>
      <c r="D29" s="32"/>
      <c r="E29" s="32"/>
    </row>
    <row r="30" spans="1:17" x14ac:dyDescent="0.3">
      <c r="B30" t="s">
        <v>77</v>
      </c>
      <c r="C30" s="37">
        <v>1450</v>
      </c>
      <c r="D30" s="37">
        <v>1485</v>
      </c>
      <c r="E30" s="37">
        <v>1505</v>
      </c>
      <c r="F30" s="15">
        <v>1554</v>
      </c>
      <c r="G30" s="15">
        <v>1830</v>
      </c>
      <c r="H30" s="86">
        <f>G30</f>
        <v>1830</v>
      </c>
      <c r="I30" s="86">
        <f t="shared" ref="I30:L30" si="20">H30</f>
        <v>1830</v>
      </c>
      <c r="J30" s="86">
        <f t="shared" si="20"/>
        <v>1830</v>
      </c>
      <c r="K30" s="86">
        <f t="shared" si="20"/>
        <v>1830</v>
      </c>
      <c r="L30" s="86">
        <f t="shared" si="20"/>
        <v>1830</v>
      </c>
      <c r="M30" s="53"/>
      <c r="N30" s="53"/>
      <c r="O30" s="53"/>
      <c r="P30" s="53"/>
      <c r="Q30" s="53"/>
    </row>
    <row r="31" spans="1:17" x14ac:dyDescent="0.3">
      <c r="B31" t="s">
        <v>78</v>
      </c>
      <c r="C31" s="37">
        <v>8045</v>
      </c>
      <c r="D31" s="37">
        <v>10515</v>
      </c>
      <c r="E31" s="37">
        <v>9981</v>
      </c>
      <c r="F31" s="15">
        <v>13909</v>
      </c>
      <c r="G31" s="15">
        <v>14808</v>
      </c>
      <c r="H31" s="87">
        <f>'Working Cap'!H7</f>
        <v>13409.967068493152</v>
      </c>
      <c r="I31" s="87">
        <f>'Working Cap'!I7</f>
        <v>14200.305101369864</v>
      </c>
      <c r="J31" s="87">
        <f>'Working Cap'!J7</f>
        <v>15037.778216394525</v>
      </c>
      <c r="K31" s="87">
        <f>'Working Cap'!K7</f>
        <v>15925.208814499509</v>
      </c>
      <c r="L31" s="87">
        <f>'Working Cap'!L7</f>
        <v>16865.588526593219</v>
      </c>
    </row>
    <row r="32" spans="1:17" x14ac:dyDescent="0.3">
      <c r="B32" t="s">
        <v>79</v>
      </c>
      <c r="C32" s="37">
        <v>7687</v>
      </c>
      <c r="D32" s="37">
        <v>9068</v>
      </c>
      <c r="E32" s="37">
        <v>8362</v>
      </c>
      <c r="F32" s="15">
        <v>8542</v>
      </c>
      <c r="G32" s="15">
        <v>11194</v>
      </c>
      <c r="H32" s="12">
        <f t="shared" ref="H32:H37" si="21">G32</f>
        <v>11194</v>
      </c>
      <c r="I32" s="12">
        <f t="shared" ref="I32:L32" si="22">H32</f>
        <v>11194</v>
      </c>
      <c r="J32" s="12">
        <f t="shared" si="22"/>
        <v>11194</v>
      </c>
      <c r="K32" s="12">
        <f t="shared" si="22"/>
        <v>11194</v>
      </c>
      <c r="L32" s="12">
        <f t="shared" si="22"/>
        <v>11194</v>
      </c>
    </row>
    <row r="33" spans="1:18" x14ac:dyDescent="0.3">
      <c r="B33" t="s">
        <v>80</v>
      </c>
      <c r="C33" s="37">
        <v>3635</v>
      </c>
      <c r="D33" s="37">
        <v>3843</v>
      </c>
      <c r="E33" s="37">
        <v>3640</v>
      </c>
      <c r="F33" s="15">
        <v>4028</v>
      </c>
      <c r="G33" s="15">
        <v>4487</v>
      </c>
      <c r="H33" s="12">
        <f t="shared" si="21"/>
        <v>4487</v>
      </c>
      <c r="I33" s="12">
        <f t="shared" ref="I33:L33" si="23">H33</f>
        <v>4487</v>
      </c>
      <c r="J33" s="12">
        <f t="shared" si="23"/>
        <v>4487</v>
      </c>
      <c r="K33" s="12">
        <f t="shared" si="23"/>
        <v>4487</v>
      </c>
      <c r="L33" s="12">
        <f t="shared" si="23"/>
        <v>4487</v>
      </c>
    </row>
    <row r="34" spans="1:18" x14ac:dyDescent="0.3">
      <c r="B34" t="s">
        <v>81</v>
      </c>
      <c r="C34" s="37">
        <v>8392</v>
      </c>
      <c r="D34" s="37">
        <v>4892</v>
      </c>
      <c r="E34" s="37">
        <v>6524</v>
      </c>
      <c r="F34" s="15">
        <v>7188</v>
      </c>
      <c r="G34" s="15">
        <v>6866</v>
      </c>
      <c r="H34" s="12">
        <f t="shared" si="21"/>
        <v>6866</v>
      </c>
      <c r="I34" s="12">
        <f t="shared" ref="I34:L35" si="24">H34</f>
        <v>6866</v>
      </c>
      <c r="J34" s="12">
        <f t="shared" si="24"/>
        <v>6866</v>
      </c>
      <c r="K34" s="12">
        <f t="shared" si="24"/>
        <v>6866</v>
      </c>
      <c r="L34" s="12">
        <f t="shared" si="24"/>
        <v>6866</v>
      </c>
    </row>
    <row r="35" spans="1:18" x14ac:dyDescent="0.3">
      <c r="B35" t="s">
        <v>82</v>
      </c>
      <c r="C35" s="37">
        <v>1411</v>
      </c>
      <c r="D35" s="37">
        <v>345</v>
      </c>
      <c r="E35" s="37">
        <v>140</v>
      </c>
      <c r="F35" s="15">
        <v>180</v>
      </c>
      <c r="G35" s="15">
        <v>1378</v>
      </c>
      <c r="H35" s="12">
        <f t="shared" si="21"/>
        <v>1378</v>
      </c>
      <c r="I35" s="12">
        <f t="shared" si="24"/>
        <v>1378</v>
      </c>
      <c r="J35" s="12">
        <f t="shared" si="24"/>
        <v>1378</v>
      </c>
      <c r="K35" s="12">
        <f t="shared" si="24"/>
        <v>1378</v>
      </c>
      <c r="L35" s="12">
        <f t="shared" si="24"/>
        <v>1378</v>
      </c>
    </row>
    <row r="36" spans="1:18" x14ac:dyDescent="0.3">
      <c r="B36" t="s">
        <v>83</v>
      </c>
      <c r="C36" s="37">
        <v>3810</v>
      </c>
      <c r="D36" s="37">
        <v>4065</v>
      </c>
      <c r="E36" s="37">
        <v>4519</v>
      </c>
      <c r="F36" s="15">
        <v>4885</v>
      </c>
      <c r="G36" s="15">
        <v>5600</v>
      </c>
      <c r="H36" s="12">
        <f t="shared" si="21"/>
        <v>5600</v>
      </c>
      <c r="I36" s="12">
        <f t="shared" ref="I36:L36" si="25">H36</f>
        <v>5600</v>
      </c>
      <c r="J36" s="12">
        <f t="shared" si="25"/>
        <v>5600</v>
      </c>
      <c r="K36" s="12">
        <f t="shared" si="25"/>
        <v>5600</v>
      </c>
      <c r="L36" s="12">
        <f t="shared" si="25"/>
        <v>5600</v>
      </c>
    </row>
    <row r="37" spans="1:18" x14ac:dyDescent="0.3">
      <c r="B37" t="s">
        <v>84</v>
      </c>
      <c r="C37" s="37">
        <v>7921</v>
      </c>
      <c r="D37" s="37">
        <v>9345</v>
      </c>
      <c r="E37" s="37">
        <v>11433</v>
      </c>
      <c r="F37" s="15">
        <v>12715</v>
      </c>
      <c r="G37" s="15">
        <v>14751</v>
      </c>
      <c r="H37" s="12">
        <f t="shared" si="21"/>
        <v>14751</v>
      </c>
      <c r="I37" s="12">
        <f t="shared" ref="I37:L37" si="26">H37</f>
        <v>14751</v>
      </c>
      <c r="J37" s="12">
        <f t="shared" si="26"/>
        <v>14751</v>
      </c>
      <c r="K37" s="12">
        <f t="shared" si="26"/>
        <v>14751</v>
      </c>
      <c r="L37" s="12">
        <f t="shared" si="26"/>
        <v>14751</v>
      </c>
      <c r="M37" s="50"/>
      <c r="N37" s="50"/>
      <c r="O37" s="50"/>
      <c r="P37" s="50"/>
      <c r="Q37" s="50"/>
      <c r="R37" s="50"/>
    </row>
    <row r="38" spans="1:18" x14ac:dyDescent="0.3">
      <c r="A38">
        <v>3</v>
      </c>
      <c r="B38" s="1" t="s">
        <v>85</v>
      </c>
      <c r="C38" s="33">
        <f t="shared" ref="C38:F38" si="27">SUM(C30:C37)</f>
        <v>42351</v>
      </c>
      <c r="D38" s="33">
        <f t="shared" si="27"/>
        <v>43558</v>
      </c>
      <c r="E38" s="33">
        <f t="shared" si="27"/>
        <v>46104</v>
      </c>
      <c r="F38" s="20">
        <f t="shared" si="27"/>
        <v>53001</v>
      </c>
      <c r="G38" s="20">
        <f>SUM(G30:G37)</f>
        <v>60914</v>
      </c>
      <c r="H38" s="20">
        <f t="shared" ref="H38:L38" si="28">SUM(H30:H37)</f>
        <v>59515.967068493148</v>
      </c>
      <c r="I38" s="20">
        <f t="shared" si="28"/>
        <v>60306.305101369864</v>
      </c>
      <c r="J38" s="20">
        <f t="shared" si="28"/>
        <v>61143.778216394523</v>
      </c>
      <c r="K38" s="20">
        <f t="shared" si="28"/>
        <v>62031.208814499507</v>
      </c>
      <c r="L38" s="20">
        <f t="shared" si="28"/>
        <v>62971.588526593216</v>
      </c>
      <c r="N38" s="50"/>
      <c r="O38" s="50"/>
      <c r="P38" s="50"/>
      <c r="Q38" s="50"/>
      <c r="R38" s="50"/>
    </row>
    <row r="39" spans="1:18" x14ac:dyDescent="0.3">
      <c r="B39" s="2" t="s">
        <v>86</v>
      </c>
      <c r="C39" s="32"/>
      <c r="D39" s="32"/>
      <c r="E39" s="32"/>
      <c r="N39" s="50"/>
    </row>
    <row r="40" spans="1:18" x14ac:dyDescent="0.3">
      <c r="B40" t="s">
        <v>87</v>
      </c>
      <c r="C40" s="15">
        <v>0</v>
      </c>
      <c r="D40" s="15">
        <v>0</v>
      </c>
      <c r="E40" s="15">
        <v>0</v>
      </c>
      <c r="F40" s="15">
        <v>0</v>
      </c>
      <c r="G40" s="29">
        <v>126</v>
      </c>
      <c r="H40" s="12">
        <f t="shared" ref="H40:H45" si="29">G40</f>
        <v>126</v>
      </c>
      <c r="I40" s="12">
        <f t="shared" ref="I40:L40" si="30">H40</f>
        <v>126</v>
      </c>
      <c r="J40" s="12">
        <f t="shared" si="30"/>
        <v>126</v>
      </c>
      <c r="K40" s="12">
        <f t="shared" si="30"/>
        <v>126</v>
      </c>
      <c r="L40" s="12">
        <f t="shared" si="30"/>
        <v>126</v>
      </c>
    </row>
    <row r="41" spans="1:18" x14ac:dyDescent="0.3">
      <c r="B41" t="s">
        <v>77</v>
      </c>
      <c r="C41" s="37">
        <v>6368</v>
      </c>
      <c r="D41" s="37">
        <v>6203</v>
      </c>
      <c r="E41" s="37">
        <v>6516</v>
      </c>
      <c r="F41" s="15">
        <v>7838</v>
      </c>
      <c r="G41" s="15">
        <v>9453</v>
      </c>
      <c r="H41" s="86">
        <f t="shared" si="29"/>
        <v>9453</v>
      </c>
      <c r="I41" s="86">
        <f t="shared" ref="I41:L41" si="31">H41</f>
        <v>9453</v>
      </c>
      <c r="J41" s="86">
        <f t="shared" si="31"/>
        <v>9453</v>
      </c>
      <c r="K41" s="86">
        <f t="shared" si="31"/>
        <v>9453</v>
      </c>
      <c r="L41" s="86">
        <f t="shared" si="31"/>
        <v>9453</v>
      </c>
      <c r="M41" s="125"/>
      <c r="N41" s="125"/>
      <c r="O41" s="125"/>
      <c r="P41" s="125"/>
      <c r="Q41" s="125"/>
      <c r="R41" s="125"/>
    </row>
    <row r="42" spans="1:18" x14ac:dyDescent="0.3">
      <c r="B42" t="s">
        <v>79</v>
      </c>
      <c r="C42" s="37">
        <v>572</v>
      </c>
      <c r="D42" s="37">
        <v>353</v>
      </c>
      <c r="E42" s="37">
        <v>365</v>
      </c>
      <c r="F42" s="15">
        <v>680</v>
      </c>
      <c r="G42" s="29">
        <v>588</v>
      </c>
      <c r="H42">
        <f t="shared" si="29"/>
        <v>588</v>
      </c>
      <c r="I42">
        <f t="shared" ref="I42:L42" si="32">H42</f>
        <v>588</v>
      </c>
      <c r="J42">
        <f t="shared" si="32"/>
        <v>588</v>
      </c>
      <c r="K42">
        <f t="shared" si="32"/>
        <v>588</v>
      </c>
      <c r="L42">
        <f t="shared" si="32"/>
        <v>588</v>
      </c>
      <c r="M42" s="53"/>
      <c r="N42" s="53"/>
      <c r="O42" s="53"/>
      <c r="P42" s="53"/>
      <c r="Q42" s="53"/>
    </row>
    <row r="43" spans="1:18" x14ac:dyDescent="0.3">
      <c r="B43" t="s">
        <v>83</v>
      </c>
      <c r="C43" s="37">
        <v>677</v>
      </c>
      <c r="D43" s="37">
        <v>536</v>
      </c>
      <c r="E43" s="37">
        <v>686</v>
      </c>
      <c r="F43" s="15">
        <v>841</v>
      </c>
      <c r="G43" s="29">
        <v>961</v>
      </c>
      <c r="H43">
        <f t="shared" si="29"/>
        <v>961</v>
      </c>
      <c r="I43">
        <f t="shared" ref="I43:L43" si="33">H43</f>
        <v>961</v>
      </c>
      <c r="J43">
        <f t="shared" si="33"/>
        <v>961</v>
      </c>
      <c r="K43">
        <f t="shared" si="33"/>
        <v>961</v>
      </c>
      <c r="L43">
        <f t="shared" si="33"/>
        <v>961</v>
      </c>
    </row>
    <row r="44" spans="1:18" x14ac:dyDescent="0.3">
      <c r="B44" t="s">
        <v>88</v>
      </c>
      <c r="C44" s="37">
        <v>590</v>
      </c>
      <c r="D44" s="37">
        <v>792</v>
      </c>
      <c r="E44" s="37">
        <v>977</v>
      </c>
      <c r="F44" s="15">
        <v>980</v>
      </c>
      <c r="G44" s="15">
        <v>1205</v>
      </c>
      <c r="H44" s="12">
        <f t="shared" si="29"/>
        <v>1205</v>
      </c>
      <c r="I44" s="12">
        <f t="shared" ref="I44:L44" si="34">H44</f>
        <v>1205</v>
      </c>
      <c r="J44" s="12">
        <f t="shared" si="34"/>
        <v>1205</v>
      </c>
      <c r="K44" s="12">
        <f t="shared" si="34"/>
        <v>1205</v>
      </c>
      <c r="L44" s="12">
        <f t="shared" si="34"/>
        <v>1205</v>
      </c>
    </row>
    <row r="45" spans="1:18" x14ac:dyDescent="0.3">
      <c r="B45" t="s">
        <v>89</v>
      </c>
      <c r="C45" s="37">
        <v>1110</v>
      </c>
      <c r="D45" s="37">
        <v>1003</v>
      </c>
      <c r="E45" s="37">
        <v>482</v>
      </c>
      <c r="F45" s="15">
        <v>518</v>
      </c>
      <c r="G45" s="29">
        <v>647</v>
      </c>
      <c r="H45" s="12">
        <f t="shared" si="29"/>
        <v>647</v>
      </c>
      <c r="I45" s="12">
        <f t="shared" ref="I45:L45" si="35">H45</f>
        <v>647</v>
      </c>
      <c r="J45" s="12">
        <f t="shared" si="35"/>
        <v>647</v>
      </c>
      <c r="K45" s="12">
        <f t="shared" si="35"/>
        <v>647</v>
      </c>
      <c r="L45" s="12">
        <f t="shared" si="35"/>
        <v>647</v>
      </c>
    </row>
    <row r="46" spans="1:18" x14ac:dyDescent="0.3">
      <c r="A46">
        <v>4</v>
      </c>
      <c r="B46" s="1" t="s">
        <v>90</v>
      </c>
      <c r="C46" s="33">
        <f t="shared" ref="C46:F46" si="36">SUM(C40:C45)</f>
        <v>9317</v>
      </c>
      <c r="D46" s="33">
        <f t="shared" si="36"/>
        <v>8887</v>
      </c>
      <c r="E46" s="33">
        <f t="shared" si="36"/>
        <v>9026</v>
      </c>
      <c r="F46" s="20">
        <f t="shared" si="36"/>
        <v>10857</v>
      </c>
      <c r="G46" s="20">
        <f>SUM(G40:G45)</f>
        <v>12980</v>
      </c>
      <c r="H46" s="20">
        <f t="shared" ref="H46:L46" si="37">SUM(H40:H45)</f>
        <v>12980</v>
      </c>
      <c r="I46" s="20">
        <f t="shared" si="37"/>
        <v>12980</v>
      </c>
      <c r="J46" s="20">
        <f t="shared" si="37"/>
        <v>12980</v>
      </c>
      <c r="K46" s="20">
        <f t="shared" si="37"/>
        <v>12980</v>
      </c>
      <c r="L46" s="20">
        <f t="shared" si="37"/>
        <v>12980</v>
      </c>
    </row>
    <row r="47" spans="1:18" x14ac:dyDescent="0.3">
      <c r="B47" s="2" t="s">
        <v>91</v>
      </c>
      <c r="C47" s="32"/>
      <c r="D47" s="32"/>
      <c r="E47" s="32"/>
    </row>
    <row r="48" spans="1:18" x14ac:dyDescent="0.3">
      <c r="B48" t="s">
        <v>92</v>
      </c>
      <c r="C48" s="37">
        <v>366</v>
      </c>
      <c r="D48" s="37">
        <v>366</v>
      </c>
      <c r="E48" s="37">
        <v>362</v>
      </c>
      <c r="F48" s="15">
        <v>362</v>
      </c>
      <c r="G48" s="29">
        <v>362</v>
      </c>
      <c r="H48">
        <f>G48</f>
        <v>362</v>
      </c>
      <c r="I48">
        <f t="shared" ref="I48:L48" si="38">H48</f>
        <v>362</v>
      </c>
      <c r="J48">
        <f t="shared" si="38"/>
        <v>362</v>
      </c>
      <c r="K48">
        <f t="shared" si="38"/>
        <v>362</v>
      </c>
      <c r="L48">
        <f t="shared" si="38"/>
        <v>362</v>
      </c>
    </row>
    <row r="49" spans="1:17" x14ac:dyDescent="0.3">
      <c r="B49" t="s">
        <v>93</v>
      </c>
      <c r="C49" s="37">
        <v>88773</v>
      </c>
      <c r="D49" s="37">
        <v>90058</v>
      </c>
      <c r="E49" s="37">
        <v>90127</v>
      </c>
      <c r="F49" s="15">
        <v>94394</v>
      </c>
      <c r="G49" s="15">
        <v>106878</v>
      </c>
      <c r="H49" s="128">
        <f>G49+('Income Statement'!H25-'Income Statement'!H27)</f>
        <v>120650.25738930386</v>
      </c>
      <c r="I49" s="128">
        <f>H49+('Income Statement'!I25-'Income Statement'!I27)</f>
        <v>134319.46404074962</v>
      </c>
      <c r="J49" s="128">
        <f>I49+('Income Statement'!J25-'Income Statement'!J27)</f>
        <v>147550.90917544632</v>
      </c>
      <c r="K49" s="128">
        <f>J49+('Income Statement'!K25-'Income Statement'!K27)</f>
        <v>159843.50038608784</v>
      </c>
      <c r="L49" s="128">
        <f>K49+('Income Statement'!L25-'Income Statement'!L27)</f>
        <v>170929.91339733228</v>
      </c>
      <c r="M49" s="50"/>
      <c r="N49" s="50"/>
      <c r="O49" s="50"/>
      <c r="P49" s="50"/>
      <c r="Q49" s="50"/>
    </row>
    <row r="50" spans="1:17" x14ac:dyDescent="0.3">
      <c r="A50">
        <v>5</v>
      </c>
      <c r="B50" s="1" t="s">
        <v>95</v>
      </c>
      <c r="C50" s="33">
        <f t="shared" ref="C50:F50" si="39">SUM(C48:C49)</f>
        <v>89139</v>
      </c>
      <c r="D50" s="33">
        <f t="shared" si="39"/>
        <v>90424</v>
      </c>
      <c r="E50" s="33">
        <f t="shared" si="39"/>
        <v>90489</v>
      </c>
      <c r="F50" s="20">
        <f t="shared" si="39"/>
        <v>94756</v>
      </c>
      <c r="G50" s="20">
        <f>SUM(G48:G49)</f>
        <v>107240</v>
      </c>
      <c r="H50" s="20">
        <f t="shared" ref="H50:L50" si="40">SUM(H48:H49)</f>
        <v>121012.25738930386</v>
      </c>
      <c r="I50" s="20">
        <f t="shared" si="40"/>
        <v>134681.46404074962</v>
      </c>
      <c r="J50" s="20">
        <f t="shared" si="40"/>
        <v>147912.90917544632</v>
      </c>
      <c r="K50" s="20">
        <f t="shared" si="40"/>
        <v>160205.50038608784</v>
      </c>
      <c r="L50" s="20">
        <f t="shared" si="40"/>
        <v>171291.91339733228</v>
      </c>
      <c r="M50" s="50"/>
    </row>
    <row r="51" spans="1:17" x14ac:dyDescent="0.3">
      <c r="B51" t="s">
        <v>94</v>
      </c>
      <c r="C51" s="37">
        <v>707</v>
      </c>
      <c r="D51" s="37">
        <v>782</v>
      </c>
      <c r="E51" s="37">
        <v>830</v>
      </c>
      <c r="F51" s="15">
        <v>1015</v>
      </c>
      <c r="G51" s="15">
        <v>1238</v>
      </c>
      <c r="H51" s="12">
        <f>G51</f>
        <v>1238</v>
      </c>
      <c r="I51" s="12">
        <f t="shared" ref="I51:L51" si="41">H51</f>
        <v>1238</v>
      </c>
      <c r="J51" s="12">
        <f t="shared" si="41"/>
        <v>1238</v>
      </c>
      <c r="K51" s="12">
        <f t="shared" si="41"/>
        <v>1238</v>
      </c>
      <c r="L51" s="12">
        <f t="shared" si="41"/>
        <v>1238</v>
      </c>
    </row>
    <row r="52" spans="1:17" x14ac:dyDescent="0.3">
      <c r="B52" s="23" t="s">
        <v>96</v>
      </c>
      <c r="C52" s="36">
        <f t="shared" ref="C52:F52" si="42">SUM(C50:C51)</f>
        <v>89846</v>
      </c>
      <c r="D52" s="36">
        <f t="shared" si="42"/>
        <v>91206</v>
      </c>
      <c r="E52" s="36">
        <f t="shared" si="42"/>
        <v>91319</v>
      </c>
      <c r="F52" s="24">
        <f t="shared" si="42"/>
        <v>95771</v>
      </c>
      <c r="G52" s="24">
        <f>SUM(G50:G51)</f>
        <v>108478</v>
      </c>
      <c r="H52" s="24">
        <f t="shared" ref="H52:L52" si="43">SUM(H50:H51)</f>
        <v>122250.25738930386</v>
      </c>
      <c r="I52" s="24">
        <f t="shared" si="43"/>
        <v>135919.46404074962</v>
      </c>
      <c r="J52" s="24">
        <f t="shared" si="43"/>
        <v>149150.90917544632</v>
      </c>
      <c r="K52" s="24">
        <f t="shared" si="43"/>
        <v>161443.50038608784</v>
      </c>
      <c r="L52" s="24">
        <f t="shared" si="43"/>
        <v>172529.91339733228</v>
      </c>
      <c r="M52" s="50"/>
    </row>
    <row r="53" spans="1:17" x14ac:dyDescent="0.3">
      <c r="A53" s="18"/>
      <c r="B53" s="21" t="s">
        <v>98</v>
      </c>
      <c r="C53" s="35">
        <f t="shared" ref="C53:F53" si="44">C52+C46+C38</f>
        <v>141514</v>
      </c>
      <c r="D53" s="35">
        <f t="shared" si="44"/>
        <v>143651</v>
      </c>
      <c r="E53" s="35">
        <f t="shared" si="44"/>
        <v>146449</v>
      </c>
      <c r="F53" s="22">
        <f t="shared" si="44"/>
        <v>159629</v>
      </c>
      <c r="G53" s="22">
        <f>G52+G46+G38</f>
        <v>182372</v>
      </c>
      <c r="H53" s="22">
        <f t="shared" ref="H53:L53" si="45">H52+H46+H38</f>
        <v>194746.22445779701</v>
      </c>
      <c r="I53" s="22">
        <f t="shared" si="45"/>
        <v>209205.76914211948</v>
      </c>
      <c r="J53" s="22">
        <f t="shared" si="45"/>
        <v>223274.68739184085</v>
      </c>
      <c r="K53" s="22">
        <f t="shared" si="45"/>
        <v>236454.70920058736</v>
      </c>
      <c r="L53" s="22">
        <f t="shared" si="45"/>
        <v>248481.50192392548</v>
      </c>
    </row>
    <row r="54" spans="1:17" x14ac:dyDescent="0.3">
      <c r="C54" s="32"/>
      <c r="D54" s="32"/>
      <c r="E54" s="32"/>
    </row>
    <row r="55" spans="1:17" x14ac:dyDescent="0.3">
      <c r="B55" s="83" t="s">
        <v>97</v>
      </c>
      <c r="C55" s="84">
        <f>C28-C53</f>
        <v>0</v>
      </c>
      <c r="D55" s="84">
        <f t="shared" ref="D55:L55" si="46">D28-D53</f>
        <v>0</v>
      </c>
      <c r="E55" s="84">
        <f t="shared" si="46"/>
        <v>0</v>
      </c>
      <c r="F55" s="84">
        <f t="shared" si="46"/>
        <v>0</v>
      </c>
      <c r="G55" s="84">
        <f t="shared" si="46"/>
        <v>0</v>
      </c>
      <c r="H55" s="84">
        <f t="shared" si="46"/>
        <v>0</v>
      </c>
      <c r="I55" s="84">
        <f t="shared" si="46"/>
        <v>0</v>
      </c>
      <c r="J55" s="84">
        <f t="shared" si="46"/>
        <v>0</v>
      </c>
      <c r="K55" s="84">
        <f t="shared" si="46"/>
        <v>0</v>
      </c>
      <c r="L55" s="84">
        <f t="shared" si="46"/>
        <v>0</v>
      </c>
      <c r="M55" s="50"/>
      <c r="N55" s="50"/>
      <c r="O55" s="50"/>
      <c r="P55" s="50"/>
      <c r="Q55" s="50"/>
    </row>
    <row r="57" spans="1:17" x14ac:dyDescent="0.3">
      <c r="B57" t="s">
        <v>331</v>
      </c>
      <c r="C57" s="94">
        <f>SUM(C41+C30)</f>
        <v>7818</v>
      </c>
      <c r="D57" s="94">
        <f t="shared" ref="D57:G57" si="47">SUM(D41+D30)</f>
        <v>7688</v>
      </c>
      <c r="E57" s="94">
        <f t="shared" si="47"/>
        <v>8021</v>
      </c>
      <c r="F57" s="94">
        <f t="shared" si="47"/>
        <v>9392</v>
      </c>
      <c r="G57" s="94">
        <f t="shared" si="47"/>
        <v>11283</v>
      </c>
    </row>
    <row r="58" spans="1:17" x14ac:dyDescent="0.3">
      <c r="B58" t="s">
        <v>332</v>
      </c>
      <c r="C58">
        <v>519</v>
      </c>
      <c r="D58">
        <v>492</v>
      </c>
      <c r="E58">
        <v>518</v>
      </c>
      <c r="F58">
        <v>631</v>
      </c>
      <c r="G58">
        <v>778</v>
      </c>
    </row>
    <row r="59" spans="1:17" x14ac:dyDescent="0.3">
      <c r="B59" t="s">
        <v>333</v>
      </c>
      <c r="D59" s="38">
        <f>D58/AVERAGE(C57:D57)</f>
        <v>6.3459306075067709E-2</v>
      </c>
      <c r="E59" s="38">
        <f t="shared" ref="E59:G59" si="48">E58/AVERAGE(D57:E57)</f>
        <v>6.5949455726016931E-2</v>
      </c>
      <c r="F59" s="38">
        <f t="shared" si="48"/>
        <v>7.2474587951530473E-2</v>
      </c>
      <c r="G59" s="38">
        <f t="shared" si="48"/>
        <v>7.525997581620314E-2</v>
      </c>
    </row>
  </sheetData>
  <mergeCells count="2">
    <mergeCell ref="C1:G1"/>
    <mergeCell ref="H1:L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CC7D-1C6A-4050-8D85-4D109A699EA1}">
  <dimension ref="A1:L79"/>
  <sheetViews>
    <sheetView showGridLines="0" zoomScaleNormal="100" workbookViewId="0">
      <pane xSplit="2" ySplit="2" topLeftCell="C62" activePane="bottomRight" state="frozen"/>
      <selection pane="topRight" activeCell="C1" sqref="C1"/>
      <selection pane="bottomLeft" activeCell="A3" sqref="A3"/>
      <selection pane="bottomRight" activeCell="B83" sqref="B83"/>
    </sheetView>
  </sheetViews>
  <sheetFormatPr defaultRowHeight="14.4" outlineLevelRow="1" outlineLevelCol="1" x14ac:dyDescent="0.3"/>
  <cols>
    <col min="1" max="1" width="3.109375" customWidth="1"/>
    <col min="2" max="2" width="49.44140625" customWidth="1"/>
    <col min="3" max="3" width="8.21875" style="32" customWidth="1" outlineLevel="1"/>
    <col min="4" max="4" width="10.33203125" style="32" customWidth="1" outlineLevel="1"/>
    <col min="5" max="5" width="9" style="32" customWidth="1" outlineLevel="1"/>
    <col min="6" max="7" width="9" customWidth="1" outlineLevel="1"/>
    <col min="8" max="9" width="9.21875" customWidth="1"/>
    <col min="10" max="12" width="9.88671875" bestFit="1" customWidth="1"/>
    <col min="13" max="16384" width="8.88671875" style="11"/>
  </cols>
  <sheetData>
    <row r="1" spans="2:12" ht="20.399999999999999" thickBot="1" x14ac:dyDescent="0.45">
      <c r="B1" s="8" t="s">
        <v>0</v>
      </c>
      <c r="C1" s="237" t="s">
        <v>16</v>
      </c>
      <c r="D1" s="237"/>
      <c r="E1" s="237"/>
      <c r="F1" s="237"/>
      <c r="G1" s="237"/>
      <c r="H1" s="238" t="s">
        <v>17</v>
      </c>
      <c r="I1" s="238"/>
      <c r="J1" s="238"/>
      <c r="K1" s="238"/>
      <c r="L1" s="238"/>
    </row>
    <row r="2" spans="2:12" x14ac:dyDescent="0.3">
      <c r="B2" s="18" t="s">
        <v>27</v>
      </c>
      <c r="C2" s="31" t="s">
        <v>18</v>
      </c>
      <c r="D2" s="31" t="s">
        <v>28</v>
      </c>
      <c r="E2" s="31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  <c r="L2" s="16" t="s">
        <v>26</v>
      </c>
    </row>
    <row r="3" spans="2:12" x14ac:dyDescent="0.3">
      <c r="B3" s="2" t="s">
        <v>99</v>
      </c>
    </row>
    <row r="4" spans="2:12" x14ac:dyDescent="0.3">
      <c r="B4" s="13" t="s">
        <v>100</v>
      </c>
      <c r="C4" s="66">
        <v>38449</v>
      </c>
      <c r="D4" s="66">
        <v>42303</v>
      </c>
      <c r="E4" s="66">
        <v>46099</v>
      </c>
      <c r="F4" s="66">
        <v>48797</v>
      </c>
      <c r="G4" s="66">
        <v>49454</v>
      </c>
      <c r="H4" s="87">
        <f>'Income Statement'!H25</f>
        <v>57166.962856207778</v>
      </c>
      <c r="I4" s="87">
        <f>'Income Statement'!I25</f>
        <v>56658.200632983746</v>
      </c>
      <c r="J4" s="87">
        <f>'Income Statement'!J25</f>
        <v>54496.968921961743</v>
      </c>
      <c r="K4" s="87">
        <f>'Income Statement'!K25</f>
        <v>49861.840444351154</v>
      </c>
      <c r="L4" s="87">
        <f>'Income Statement'!L25</f>
        <v>43906.930124596453</v>
      </c>
    </row>
    <row r="5" spans="2:12" x14ac:dyDescent="0.3">
      <c r="B5" s="26" t="s">
        <v>101</v>
      </c>
      <c r="C5" s="67"/>
      <c r="D5" s="67"/>
      <c r="E5" s="67"/>
      <c r="F5" s="67"/>
      <c r="G5" s="67"/>
      <c r="H5" s="86"/>
      <c r="I5" s="86"/>
      <c r="J5" s="86"/>
      <c r="K5" s="86"/>
      <c r="L5" s="86"/>
    </row>
    <row r="6" spans="2:12" x14ac:dyDescent="0.3">
      <c r="B6" s="13" t="s">
        <v>104</v>
      </c>
      <c r="C6" s="66">
        <v>4604</v>
      </c>
      <c r="D6" s="66">
        <v>5022</v>
      </c>
      <c r="E6" s="66">
        <v>4985</v>
      </c>
      <c r="F6" s="66">
        <v>5242</v>
      </c>
      <c r="G6" s="66">
        <v>5560</v>
      </c>
      <c r="H6" s="87">
        <f>-'Dep &amp; Capex'!H9</f>
        <v>6262.6693558765783</v>
      </c>
      <c r="I6" s="87">
        <f>-'Dep &amp; Capex'!I9</f>
        <v>7218.6995776659678</v>
      </c>
      <c r="J6" s="87">
        <f>-'Dep &amp; Capex'!J9</f>
        <v>8224.5759840158971</v>
      </c>
      <c r="K6" s="87">
        <f>-'Dep &amp; Capex'!K9</f>
        <v>9410.1683265330121</v>
      </c>
      <c r="L6" s="87">
        <f>-'Dep &amp; Capex'!L9</f>
        <v>11425.690637194803</v>
      </c>
    </row>
    <row r="7" spans="2:12" x14ac:dyDescent="0.3">
      <c r="B7" s="13" t="s">
        <v>105</v>
      </c>
      <c r="C7" s="66">
        <v>135</v>
      </c>
      <c r="D7" s="66">
        <v>140</v>
      </c>
      <c r="E7" s="66">
        <v>114</v>
      </c>
      <c r="F7" s="66">
        <v>128</v>
      </c>
      <c r="G7" s="66">
        <v>184</v>
      </c>
      <c r="H7" s="86">
        <v>0</v>
      </c>
      <c r="I7" s="86">
        <f t="shared" ref="I7:L7" si="0">H7</f>
        <v>0</v>
      </c>
      <c r="J7" s="86">
        <f t="shared" si="0"/>
        <v>0</v>
      </c>
      <c r="K7" s="86">
        <f t="shared" si="0"/>
        <v>0</v>
      </c>
      <c r="L7" s="86">
        <f t="shared" si="0"/>
        <v>0</v>
      </c>
    </row>
    <row r="8" spans="2:12" x14ac:dyDescent="0.3">
      <c r="B8" s="13" t="s">
        <v>45</v>
      </c>
      <c r="C8" s="66">
        <v>0</v>
      </c>
      <c r="D8" s="66">
        <v>0</v>
      </c>
      <c r="E8" s="66">
        <v>0</v>
      </c>
      <c r="F8" s="66">
        <v>0</v>
      </c>
      <c r="G8" s="66">
        <v>1010</v>
      </c>
      <c r="H8" s="86">
        <v>0</v>
      </c>
      <c r="I8" s="86">
        <f t="shared" ref="I8:L8" si="1">H8</f>
        <v>0</v>
      </c>
      <c r="J8" s="86">
        <f t="shared" si="1"/>
        <v>0</v>
      </c>
      <c r="K8" s="86">
        <f t="shared" si="1"/>
        <v>0</v>
      </c>
      <c r="L8" s="86">
        <f t="shared" si="1"/>
        <v>0</v>
      </c>
    </row>
    <row r="9" spans="2:12" x14ac:dyDescent="0.3">
      <c r="B9" s="13" t="s">
        <v>106</v>
      </c>
      <c r="C9" s="66">
        <v>0</v>
      </c>
      <c r="D9" s="66">
        <v>0</v>
      </c>
      <c r="E9" s="66">
        <v>0</v>
      </c>
      <c r="F9" s="66">
        <v>0</v>
      </c>
      <c r="G9" s="66">
        <v>120</v>
      </c>
      <c r="H9" s="86">
        <v>0</v>
      </c>
      <c r="I9" s="86">
        <f t="shared" ref="I9:L9" si="2">H9</f>
        <v>0</v>
      </c>
      <c r="J9" s="86">
        <f t="shared" si="2"/>
        <v>0</v>
      </c>
      <c r="K9" s="86">
        <f t="shared" si="2"/>
        <v>0</v>
      </c>
      <c r="L9" s="86">
        <f t="shared" si="2"/>
        <v>0</v>
      </c>
    </row>
    <row r="10" spans="2:12" x14ac:dyDescent="0.3">
      <c r="B10" s="13" t="s">
        <v>107</v>
      </c>
      <c r="C10" s="66">
        <v>13238</v>
      </c>
      <c r="D10" s="66">
        <v>14604</v>
      </c>
      <c r="E10" s="66">
        <v>15898</v>
      </c>
      <c r="F10" s="66">
        <v>16534</v>
      </c>
      <c r="G10" s="66">
        <v>16033</v>
      </c>
      <c r="H10" s="87">
        <f>-SUM('Income Statement'!H21:H22)</f>
        <v>17171.902787915627</v>
      </c>
      <c r="I10" s="87">
        <f>-SUM('Income Statement'!I21:I22)</f>
        <v>17006.961939350276</v>
      </c>
      <c r="J10" s="87">
        <f>-SUM('Income Statement'!J21:J22)</f>
        <v>16306.290041772405</v>
      </c>
      <c r="K10" s="87">
        <f>-SUM('Income Statement'!K21:K22)</f>
        <v>14803.580152147089</v>
      </c>
      <c r="L10" s="87">
        <f>-SUM('Income Statement'!L21:L22)</f>
        <v>12872.996637029462</v>
      </c>
    </row>
    <row r="11" spans="2:12" x14ac:dyDescent="0.3">
      <c r="B11" s="13" t="s">
        <v>108</v>
      </c>
      <c r="C11" s="66">
        <v>-7</v>
      </c>
      <c r="D11" s="66">
        <v>2</v>
      </c>
      <c r="E11" s="66">
        <v>-7</v>
      </c>
      <c r="F11" s="66">
        <v>-15</v>
      </c>
      <c r="G11" s="66">
        <v>-110</v>
      </c>
      <c r="H11" s="61">
        <v>0</v>
      </c>
      <c r="I11" s="61">
        <f t="shared" ref="I11:L11" si="3">H11</f>
        <v>0</v>
      </c>
      <c r="J11" s="61">
        <f t="shared" si="3"/>
        <v>0</v>
      </c>
      <c r="K11" s="61">
        <f t="shared" si="3"/>
        <v>0</v>
      </c>
      <c r="L11" s="61">
        <f t="shared" si="3"/>
        <v>0</v>
      </c>
    </row>
    <row r="12" spans="2:12" x14ac:dyDescent="0.3">
      <c r="B12" s="13" t="s">
        <v>109</v>
      </c>
      <c r="C12" s="66">
        <v>9</v>
      </c>
      <c r="D12" s="66">
        <v>0</v>
      </c>
      <c r="E12" s="66">
        <v>0</v>
      </c>
      <c r="F12" s="66">
        <v>0</v>
      </c>
      <c r="G12" s="66">
        <v>-8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</row>
    <row r="13" spans="2:12" x14ac:dyDescent="0.3">
      <c r="B13" s="13" t="s">
        <v>110</v>
      </c>
      <c r="C13" s="66">
        <v>-120</v>
      </c>
      <c r="D13" s="66">
        <v>-189</v>
      </c>
      <c r="E13" s="66">
        <v>-17</v>
      </c>
      <c r="F13" s="66">
        <v>-1</v>
      </c>
      <c r="G13" s="66">
        <v>-176</v>
      </c>
      <c r="H13" s="61">
        <v>0</v>
      </c>
      <c r="I13" s="61">
        <f t="shared" ref="I13:L13" si="4">H13</f>
        <v>0</v>
      </c>
      <c r="J13" s="61">
        <f t="shared" si="4"/>
        <v>0</v>
      </c>
      <c r="K13" s="61">
        <f t="shared" si="4"/>
        <v>0</v>
      </c>
      <c r="L13" s="61">
        <f t="shared" si="4"/>
        <v>0</v>
      </c>
    </row>
    <row r="14" spans="2:12" x14ac:dyDescent="0.3">
      <c r="B14" s="13" t="s">
        <v>112</v>
      </c>
      <c r="C14" s="66">
        <v>-23</v>
      </c>
      <c r="D14" s="66">
        <v>-26</v>
      </c>
      <c r="E14" s="66">
        <v>-7</v>
      </c>
      <c r="F14" s="66">
        <v>-20</v>
      </c>
      <c r="G14" s="66">
        <v>-17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</row>
    <row r="15" spans="2:12" x14ac:dyDescent="0.3">
      <c r="B15" s="13" t="s">
        <v>113</v>
      </c>
      <c r="C15" s="66">
        <v>-198</v>
      </c>
      <c r="D15" s="66">
        <v>-224</v>
      </c>
      <c r="E15" s="66">
        <v>-312</v>
      </c>
      <c r="F15" s="66">
        <v>-269</v>
      </c>
      <c r="G15" s="66">
        <v>-701</v>
      </c>
      <c r="H15" s="61">
        <v>0</v>
      </c>
      <c r="I15" s="61">
        <f t="shared" ref="I15:L15" si="5">H15</f>
        <v>0</v>
      </c>
      <c r="J15" s="61">
        <f t="shared" si="5"/>
        <v>0</v>
      </c>
      <c r="K15" s="61">
        <f t="shared" si="5"/>
        <v>0</v>
      </c>
      <c r="L15" s="61">
        <f t="shared" si="5"/>
        <v>0</v>
      </c>
    </row>
    <row r="16" spans="2:12" x14ac:dyDescent="0.3">
      <c r="B16" s="13" t="s">
        <v>114</v>
      </c>
      <c r="C16" s="66">
        <v>0</v>
      </c>
      <c r="D16" s="66">
        <v>0</v>
      </c>
      <c r="E16" s="66">
        <v>0</v>
      </c>
      <c r="F16" s="66">
        <v>0</v>
      </c>
      <c r="G16" s="66">
        <v>-17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</row>
    <row r="17" spans="2:12" x14ac:dyDescent="0.3">
      <c r="B17" s="13" t="s">
        <v>115</v>
      </c>
      <c r="C17" s="66">
        <v>0</v>
      </c>
      <c r="D17" s="66">
        <v>0</v>
      </c>
      <c r="E17" s="66">
        <v>0</v>
      </c>
      <c r="F17" s="66">
        <v>0</v>
      </c>
      <c r="G17" s="66">
        <v>18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</row>
    <row r="18" spans="2:12" x14ac:dyDescent="0.3">
      <c r="B18" s="13" t="s">
        <v>116</v>
      </c>
      <c r="C18" s="66">
        <v>-2663</v>
      </c>
      <c r="D18" s="66">
        <v>-3248</v>
      </c>
      <c r="E18" s="66">
        <v>-3781</v>
      </c>
      <c r="F18" s="66">
        <v>-3296</v>
      </c>
      <c r="G18" s="66">
        <v>-3854</v>
      </c>
      <c r="H18" s="61">
        <v>0</v>
      </c>
      <c r="I18" s="61">
        <f t="shared" ref="I18:L18" si="6">H18</f>
        <v>0</v>
      </c>
      <c r="J18" s="61">
        <f t="shared" si="6"/>
        <v>0</v>
      </c>
      <c r="K18" s="61">
        <f t="shared" si="6"/>
        <v>0</v>
      </c>
      <c r="L18" s="61">
        <f t="shared" si="6"/>
        <v>0</v>
      </c>
    </row>
    <row r="19" spans="2:12" x14ac:dyDescent="0.3">
      <c r="B19" s="13" t="s">
        <v>111</v>
      </c>
      <c r="C19" s="66">
        <v>-4</v>
      </c>
      <c r="D19" s="66">
        <v>-15</v>
      </c>
      <c r="E19" s="66">
        <v>-41</v>
      </c>
      <c r="F19" s="66">
        <v>-43</v>
      </c>
      <c r="G19" s="66">
        <v>-35</v>
      </c>
      <c r="H19" s="61">
        <v>0</v>
      </c>
      <c r="I19" s="61">
        <f t="shared" ref="I19:L19" si="7">H19</f>
        <v>0</v>
      </c>
      <c r="J19" s="61">
        <f t="shared" si="7"/>
        <v>0</v>
      </c>
      <c r="K19" s="61">
        <f t="shared" si="7"/>
        <v>0</v>
      </c>
      <c r="L19" s="61">
        <f t="shared" si="7"/>
        <v>0</v>
      </c>
    </row>
    <row r="20" spans="2:12" x14ac:dyDescent="0.3">
      <c r="B20" s="13" t="s">
        <v>102</v>
      </c>
      <c r="C20" s="66">
        <v>784</v>
      </c>
      <c r="D20" s="66">
        <v>779</v>
      </c>
      <c r="E20" s="66">
        <v>778</v>
      </c>
      <c r="F20" s="66">
        <v>796</v>
      </c>
      <c r="G20" s="66">
        <v>1227</v>
      </c>
      <c r="H20" s="127">
        <v>0</v>
      </c>
      <c r="I20" s="127">
        <v>0</v>
      </c>
      <c r="J20" s="127">
        <v>0</v>
      </c>
      <c r="K20" s="127">
        <v>0</v>
      </c>
      <c r="L20" s="127">
        <v>0</v>
      </c>
    </row>
    <row r="21" spans="2:12" x14ac:dyDescent="0.3">
      <c r="B21" s="27" t="s">
        <v>117</v>
      </c>
      <c r="C21" s="68">
        <f t="shared" ref="C21:F21" si="8">SUM(C4:C20)</f>
        <v>54204</v>
      </c>
      <c r="D21" s="68">
        <f t="shared" si="8"/>
        <v>59148</v>
      </c>
      <c r="E21" s="68">
        <f t="shared" si="8"/>
        <v>63709</v>
      </c>
      <c r="F21" s="68">
        <f t="shared" si="8"/>
        <v>67853</v>
      </c>
      <c r="G21" s="68">
        <f>SUM(G4:G20)</f>
        <v>68688</v>
      </c>
      <c r="H21" s="129">
        <f t="shared" ref="H21:L21" si="9">SUM(H4:H20)</f>
        <v>80601.534999999974</v>
      </c>
      <c r="I21" s="129">
        <f t="shared" si="9"/>
        <v>80883.862149999986</v>
      </c>
      <c r="J21" s="129">
        <f t="shared" si="9"/>
        <v>79027.834947750045</v>
      </c>
      <c r="K21" s="129">
        <f t="shared" si="9"/>
        <v>74075.58892303126</v>
      </c>
      <c r="L21" s="129">
        <f t="shared" si="9"/>
        <v>68205.617398820716</v>
      </c>
    </row>
    <row r="22" spans="2:12" x14ac:dyDescent="0.3">
      <c r="B22" s="25" t="s">
        <v>103</v>
      </c>
      <c r="C22" s="67"/>
      <c r="D22" s="67"/>
      <c r="E22" s="67"/>
      <c r="F22" s="67"/>
      <c r="G22" s="67"/>
      <c r="H22" s="130"/>
      <c r="I22" s="130"/>
      <c r="J22" s="130"/>
      <c r="K22" s="130"/>
      <c r="L22" s="130"/>
    </row>
    <row r="23" spans="2:12" x14ac:dyDescent="0.3">
      <c r="B23" s="13" t="s">
        <v>61</v>
      </c>
      <c r="C23" s="66">
        <v>-12</v>
      </c>
      <c r="D23" s="66">
        <v>-8</v>
      </c>
      <c r="E23" s="66">
        <v>0</v>
      </c>
      <c r="F23" s="66">
        <v>7</v>
      </c>
      <c r="G23" s="66">
        <v>-8</v>
      </c>
      <c r="H23" s="101">
        <f>'Balance Sheet'!G12-'Balance Sheet'!H12</f>
        <v>-1</v>
      </c>
      <c r="I23" s="101">
        <f>'Balance Sheet'!H12-'Balance Sheet'!I12</f>
        <v>0</v>
      </c>
      <c r="J23" s="101">
        <f>'Balance Sheet'!I12-'Balance Sheet'!J12</f>
        <v>0</v>
      </c>
      <c r="K23" s="101">
        <f>'Balance Sheet'!J12-'Balance Sheet'!K12</f>
        <v>0</v>
      </c>
      <c r="L23" s="101">
        <f>'Balance Sheet'!K12-'Balance Sheet'!L12</f>
        <v>0</v>
      </c>
    </row>
    <row r="24" spans="2:12" x14ac:dyDescent="0.3">
      <c r="B24" s="13" t="s">
        <v>69</v>
      </c>
      <c r="C24" s="66">
        <v>-5144</v>
      </c>
      <c r="D24" s="66">
        <v>-7683</v>
      </c>
      <c r="E24" s="66">
        <v>-3332</v>
      </c>
      <c r="F24" s="66">
        <v>-5228</v>
      </c>
      <c r="G24" s="66">
        <v>-5248</v>
      </c>
      <c r="H24" s="126">
        <f>'Working Cap'!G6-'Working Cap'!H6</f>
        <v>1706.6782876712241</v>
      </c>
      <c r="I24" s="126">
        <f>'Working Cap'!H6-'Working Cap'!I6</f>
        <v>-3639.351127397269</v>
      </c>
      <c r="J24" s="126">
        <f>'Working Cap'!I6-'Working Cap'!J6</f>
        <v>-3449.2406641780835</v>
      </c>
      <c r="K24" s="126">
        <f>'Working Cap'!J6-'Working Cap'!K6</f>
        <v>-3067.2489955302735</v>
      </c>
      <c r="L24" s="126">
        <f>'Working Cap'!K6-'Working Cap'!L6</f>
        <v>-3227.3497587025486</v>
      </c>
    </row>
    <row r="25" spans="2:12" x14ac:dyDescent="0.3">
      <c r="B25" s="13" t="s">
        <v>118</v>
      </c>
      <c r="C25" s="66">
        <v>-116</v>
      </c>
      <c r="D25" s="66">
        <v>261</v>
      </c>
      <c r="E25" s="66">
        <v>-301</v>
      </c>
      <c r="F25" s="66">
        <v>-738</v>
      </c>
      <c r="G25" s="66">
        <v>197</v>
      </c>
      <c r="H25" s="131">
        <v>0</v>
      </c>
      <c r="I25" s="131">
        <f t="shared" ref="I25:L25" si="10">H25</f>
        <v>0</v>
      </c>
      <c r="J25" s="131">
        <f t="shared" si="10"/>
        <v>0</v>
      </c>
      <c r="K25" s="131">
        <f t="shared" si="10"/>
        <v>0</v>
      </c>
      <c r="L25" s="131">
        <f t="shared" si="10"/>
        <v>0</v>
      </c>
    </row>
    <row r="26" spans="2:12" x14ac:dyDescent="0.3">
      <c r="B26" s="13" t="s">
        <v>60</v>
      </c>
      <c r="C26" s="66">
        <v>807</v>
      </c>
      <c r="D26" s="66">
        <v>-25</v>
      </c>
      <c r="E26" s="66">
        <v>-3160</v>
      </c>
      <c r="F26" s="66">
        <v>-2552</v>
      </c>
      <c r="G26" s="66">
        <v>837</v>
      </c>
      <c r="H26" s="131">
        <v>0</v>
      </c>
      <c r="I26" s="131">
        <f t="shared" ref="I26:L26" si="11">H26</f>
        <v>0</v>
      </c>
      <c r="J26" s="131">
        <f t="shared" si="11"/>
        <v>0</v>
      </c>
      <c r="K26" s="131">
        <f t="shared" si="11"/>
        <v>0</v>
      </c>
      <c r="L26" s="131">
        <f t="shared" si="11"/>
        <v>0</v>
      </c>
    </row>
    <row r="27" spans="2:12" x14ac:dyDescent="0.3">
      <c r="B27" s="13" t="s">
        <v>119</v>
      </c>
      <c r="C27" s="66">
        <v>186</v>
      </c>
      <c r="D27" s="66">
        <v>2036</v>
      </c>
      <c r="E27" s="66">
        <v>-632</v>
      </c>
      <c r="F27" s="66">
        <v>3718</v>
      </c>
      <c r="G27" s="66">
        <v>-1105</v>
      </c>
      <c r="H27" s="126">
        <f>'Working Cap'!H7-'Working Cap'!G7</f>
        <v>-1398.0329315068484</v>
      </c>
      <c r="I27" s="126">
        <f>'Working Cap'!I7-'Working Cap'!H7</f>
        <v>790.33803287671253</v>
      </c>
      <c r="J27" s="126">
        <f>'Working Cap'!J7-'Working Cap'!I7</f>
        <v>837.47311502466073</v>
      </c>
      <c r="K27" s="126">
        <f>'Working Cap'!K7-'Working Cap'!J7</f>
        <v>887.4305981049838</v>
      </c>
      <c r="L27" s="126">
        <f>'Working Cap'!L7-'Working Cap'!K7</f>
        <v>940.37971209371062</v>
      </c>
    </row>
    <row r="28" spans="2:12" x14ac:dyDescent="0.3">
      <c r="B28" s="13" t="s">
        <v>120</v>
      </c>
      <c r="C28" s="66">
        <v>-103</v>
      </c>
      <c r="D28" s="66">
        <v>39</v>
      </c>
      <c r="E28" s="66">
        <v>-740</v>
      </c>
      <c r="F28" s="66">
        <v>395</v>
      </c>
      <c r="G28" s="66">
        <v>320</v>
      </c>
      <c r="H28" s="131">
        <v>0</v>
      </c>
      <c r="I28" s="131">
        <f t="shared" ref="I28:L28" si="12">H28</f>
        <v>0</v>
      </c>
      <c r="J28" s="131">
        <f t="shared" si="12"/>
        <v>0</v>
      </c>
      <c r="K28" s="131">
        <f t="shared" si="12"/>
        <v>0</v>
      </c>
      <c r="L28" s="131">
        <f t="shared" si="12"/>
        <v>0</v>
      </c>
    </row>
    <row r="29" spans="2:12" x14ac:dyDescent="0.3">
      <c r="B29" s="13" t="s">
        <v>121</v>
      </c>
      <c r="C29" s="66">
        <v>1153</v>
      </c>
      <c r="D29" s="66">
        <v>1417</v>
      </c>
      <c r="E29" s="66">
        <v>-695</v>
      </c>
      <c r="F29" s="66">
        <v>-119</v>
      </c>
      <c r="G29" s="66">
        <v>2814</v>
      </c>
      <c r="H29" s="131">
        <v>0</v>
      </c>
      <c r="I29" s="131">
        <f t="shared" ref="I29:L29" si="13">H29</f>
        <v>0</v>
      </c>
      <c r="J29" s="131">
        <f t="shared" si="13"/>
        <v>0</v>
      </c>
      <c r="K29" s="131">
        <f t="shared" si="13"/>
        <v>0</v>
      </c>
      <c r="L29" s="131">
        <f t="shared" si="13"/>
        <v>0</v>
      </c>
    </row>
    <row r="30" spans="2:12" x14ac:dyDescent="0.3">
      <c r="B30" s="13" t="s">
        <v>122</v>
      </c>
      <c r="C30" s="66">
        <v>460</v>
      </c>
      <c r="D30" s="66">
        <v>-254</v>
      </c>
      <c r="E30" s="66">
        <v>1978</v>
      </c>
      <c r="F30" s="66">
        <v>1158</v>
      </c>
      <c r="G30" s="66">
        <v>-17</v>
      </c>
      <c r="H30" s="131">
        <v>0</v>
      </c>
      <c r="I30" s="131">
        <f t="shared" ref="I30:L30" si="14">H30</f>
        <v>0</v>
      </c>
      <c r="J30" s="131">
        <f t="shared" si="14"/>
        <v>0</v>
      </c>
      <c r="K30" s="131">
        <f t="shared" si="14"/>
        <v>0</v>
      </c>
      <c r="L30" s="131">
        <f t="shared" si="14"/>
        <v>0</v>
      </c>
    </row>
    <row r="31" spans="2:12" x14ac:dyDescent="0.3">
      <c r="B31" s="13" t="s">
        <v>123</v>
      </c>
      <c r="C31" s="66">
        <v>-11486</v>
      </c>
      <c r="D31" s="66">
        <v>-12966</v>
      </c>
      <c r="E31" s="66">
        <v>-12489</v>
      </c>
      <c r="F31" s="66">
        <v>-15586</v>
      </c>
      <c r="G31" s="66">
        <v>-14384</v>
      </c>
      <c r="H31" s="126">
        <f>SUM('Income Statement'!H21:H22)</f>
        <v>-17171.902787915627</v>
      </c>
      <c r="I31" s="126">
        <f>SUM('Income Statement'!I21:I22)</f>
        <v>-17006.961939350276</v>
      </c>
      <c r="J31" s="126">
        <f>SUM('Income Statement'!J21:J22)</f>
        <v>-16306.290041772405</v>
      </c>
      <c r="K31" s="126">
        <f>SUM('Income Statement'!K21:K22)</f>
        <v>-14803.580152147089</v>
      </c>
      <c r="L31" s="126">
        <f>SUM('Income Statement'!L21:L22)</f>
        <v>-12872.996637029462</v>
      </c>
    </row>
    <row r="32" spans="2:12" x14ac:dyDescent="0.3">
      <c r="B32" s="25" t="s">
        <v>124</v>
      </c>
      <c r="C32" s="69">
        <f>SUM(C23:C31)</f>
        <v>-14255</v>
      </c>
      <c r="D32" s="69">
        <f t="shared" ref="D32:L32" si="15">SUM(D23:D31)</f>
        <v>-17183</v>
      </c>
      <c r="E32" s="69">
        <f t="shared" si="15"/>
        <v>-19371</v>
      </c>
      <c r="F32" s="69">
        <f t="shared" si="15"/>
        <v>-18945</v>
      </c>
      <c r="G32" s="69">
        <f t="shared" si="15"/>
        <v>-16594</v>
      </c>
      <c r="H32" s="132">
        <f t="shared" si="15"/>
        <v>-16864.257431751252</v>
      </c>
      <c r="I32" s="132">
        <f t="shared" si="15"/>
        <v>-19855.975033870833</v>
      </c>
      <c r="J32" s="132">
        <f t="shared" si="15"/>
        <v>-18918.057590925826</v>
      </c>
      <c r="K32" s="132">
        <f t="shared" si="15"/>
        <v>-16983.398549572379</v>
      </c>
      <c r="L32" s="132">
        <f t="shared" si="15"/>
        <v>-15159.9666836383</v>
      </c>
    </row>
    <row r="33" spans="1:12" x14ac:dyDescent="0.3">
      <c r="A33" s="18"/>
      <c r="B33" s="21" t="s">
        <v>125</v>
      </c>
      <c r="C33" s="70">
        <f t="shared" ref="C33:L33" si="16">SUM(C32,C21)</f>
        <v>39949</v>
      </c>
      <c r="D33" s="70">
        <f t="shared" si="16"/>
        <v>41965</v>
      </c>
      <c r="E33" s="70">
        <f t="shared" si="16"/>
        <v>44338</v>
      </c>
      <c r="F33" s="70">
        <f t="shared" si="16"/>
        <v>48908</v>
      </c>
      <c r="G33" s="70">
        <f t="shared" si="16"/>
        <v>52094</v>
      </c>
      <c r="H33" s="133">
        <f>SUM(H32,H21)</f>
        <v>63737.277568248726</v>
      </c>
      <c r="I33" s="133">
        <f t="shared" si="16"/>
        <v>61027.887116129154</v>
      </c>
      <c r="J33" s="133">
        <f t="shared" si="16"/>
        <v>60109.777356824219</v>
      </c>
      <c r="K33" s="133">
        <f t="shared" si="16"/>
        <v>57092.190373458885</v>
      </c>
      <c r="L33" s="133">
        <f t="shared" si="16"/>
        <v>53045.650715182419</v>
      </c>
    </row>
    <row r="34" spans="1:12" x14ac:dyDescent="0.3">
      <c r="B34" s="2" t="s">
        <v>126</v>
      </c>
      <c r="C34" s="67"/>
      <c r="D34" s="67"/>
      <c r="E34" s="67"/>
      <c r="F34" s="67"/>
      <c r="G34" s="67"/>
      <c r="H34" s="130"/>
      <c r="I34" s="130"/>
      <c r="J34" s="130"/>
      <c r="K34" s="130"/>
      <c r="L34" s="130"/>
    </row>
    <row r="35" spans="1:12" x14ac:dyDescent="0.3">
      <c r="B35" s="13" t="s">
        <v>127</v>
      </c>
      <c r="C35" s="66">
        <v>-15947</v>
      </c>
      <c r="D35" s="71">
        <v>-4548</v>
      </c>
      <c r="E35" s="66">
        <v>-9471</v>
      </c>
      <c r="F35" s="66">
        <v>-10496</v>
      </c>
      <c r="G35" s="66">
        <v>-8506</v>
      </c>
      <c r="H35" s="131">
        <v>0</v>
      </c>
      <c r="I35" s="131">
        <f t="shared" ref="I35:L35" si="17">H35</f>
        <v>0</v>
      </c>
      <c r="J35" s="131">
        <f t="shared" si="17"/>
        <v>0</v>
      </c>
      <c r="K35" s="131">
        <f t="shared" si="17"/>
        <v>0</v>
      </c>
      <c r="L35" s="131">
        <f t="shared" si="17"/>
        <v>0</v>
      </c>
    </row>
    <row r="36" spans="1:12" x14ac:dyDescent="0.3">
      <c r="B36" s="13" t="s">
        <v>128</v>
      </c>
      <c r="C36" s="66">
        <v>-14619</v>
      </c>
      <c r="D36" s="71">
        <v>-8293</v>
      </c>
      <c r="E36" s="66">
        <v>0</v>
      </c>
      <c r="F36" s="66">
        <v>0</v>
      </c>
      <c r="G36" s="66">
        <v>-1500</v>
      </c>
      <c r="H36" s="131">
        <v>0</v>
      </c>
      <c r="I36" s="131">
        <f t="shared" ref="I36:L36" si="18">H36</f>
        <v>0</v>
      </c>
      <c r="J36" s="131">
        <f t="shared" si="18"/>
        <v>0</v>
      </c>
      <c r="K36" s="131">
        <f t="shared" si="18"/>
        <v>0</v>
      </c>
      <c r="L36" s="131">
        <f t="shared" si="18"/>
        <v>0</v>
      </c>
    </row>
    <row r="37" spans="1:12" x14ac:dyDescent="0.3">
      <c r="B37" s="13" t="s">
        <v>129</v>
      </c>
      <c r="C37" s="66">
        <v>-75374</v>
      </c>
      <c r="D37" s="71">
        <v>-129745</v>
      </c>
      <c r="E37" s="66">
        <v>-141011</v>
      </c>
      <c r="F37" s="66">
        <v>-145962</v>
      </c>
      <c r="G37" s="66">
        <v>-151864</v>
      </c>
      <c r="H37" s="131">
        <v>0</v>
      </c>
      <c r="I37" s="131">
        <f t="shared" ref="I37:L37" si="19">H37</f>
        <v>0</v>
      </c>
      <c r="J37" s="131">
        <f t="shared" si="19"/>
        <v>0</v>
      </c>
      <c r="K37" s="131">
        <f t="shared" si="19"/>
        <v>0</v>
      </c>
      <c r="L37" s="131">
        <f t="shared" si="19"/>
        <v>0</v>
      </c>
    </row>
    <row r="38" spans="1:12" x14ac:dyDescent="0.3">
      <c r="B38" s="13" t="s">
        <v>130</v>
      </c>
      <c r="C38" s="66">
        <v>-2483</v>
      </c>
      <c r="D38" s="71">
        <v>-2532</v>
      </c>
      <c r="E38" s="66">
        <v>-2202</v>
      </c>
      <c r="F38" s="66">
        <v>-2917</v>
      </c>
      <c r="G38" s="66">
        <v>-3670</v>
      </c>
      <c r="H38" s="126">
        <f>-'Dep &amp; Capex'!H4</f>
        <v>-5668.8641000000007</v>
      </c>
      <c r="I38" s="126">
        <f>-'Dep &amp; Capex'!I4</f>
        <v>-5981.4201380000004</v>
      </c>
      <c r="J38" s="126">
        <f>-'Dep &amp; Capex'!J4</f>
        <v>-6277.6490421000017</v>
      </c>
      <c r="K38" s="126">
        <f>-'Dep &amp; Capex'!K4</f>
        <v>-8176.3395036157517</v>
      </c>
      <c r="L38" s="126">
        <f>-'Dep &amp; Capex'!L4</f>
        <v>-8522.804992417643</v>
      </c>
    </row>
    <row r="39" spans="1:12" x14ac:dyDescent="0.3">
      <c r="B39" s="13" t="s">
        <v>131</v>
      </c>
      <c r="C39" s="66">
        <v>-15</v>
      </c>
      <c r="D39" s="71">
        <v>-213</v>
      </c>
      <c r="E39" s="66">
        <v>-30</v>
      </c>
      <c r="F39" s="66">
        <v>-76</v>
      </c>
      <c r="G39" s="66">
        <v>-109</v>
      </c>
      <c r="H39" s="131">
        <v>0</v>
      </c>
      <c r="I39" s="131">
        <f t="shared" ref="I39:L39" si="20">H39</f>
        <v>0</v>
      </c>
      <c r="J39" s="131">
        <f t="shared" si="20"/>
        <v>0</v>
      </c>
      <c r="K39" s="131">
        <f t="shared" si="20"/>
        <v>0</v>
      </c>
      <c r="L39" s="131">
        <f t="shared" si="20"/>
        <v>0</v>
      </c>
    </row>
    <row r="40" spans="1:12" x14ac:dyDescent="0.3">
      <c r="B40" s="13" t="s">
        <v>132</v>
      </c>
      <c r="C40" s="66">
        <v>-497</v>
      </c>
      <c r="D40" s="71">
        <v>-355</v>
      </c>
      <c r="E40" s="66">
        <v>-442</v>
      </c>
      <c r="F40" s="66">
        <v>-944</v>
      </c>
      <c r="G40" s="66">
        <v>-367</v>
      </c>
      <c r="H40" s="131">
        <v>0</v>
      </c>
      <c r="I40" s="131">
        <f t="shared" ref="I40:L40" si="21">H40</f>
        <v>0</v>
      </c>
      <c r="J40" s="131">
        <f t="shared" si="21"/>
        <v>0</v>
      </c>
      <c r="K40" s="131">
        <f t="shared" si="21"/>
        <v>0</v>
      </c>
      <c r="L40" s="131">
        <f t="shared" si="21"/>
        <v>0</v>
      </c>
    </row>
    <row r="41" spans="1:12" x14ac:dyDescent="0.3">
      <c r="B41" s="13" t="s">
        <v>133</v>
      </c>
      <c r="C41" s="66">
        <v>0</v>
      </c>
      <c r="D41" s="66">
        <v>0</v>
      </c>
      <c r="E41" s="66">
        <v>0</v>
      </c>
      <c r="F41" s="66">
        <v>0</v>
      </c>
      <c r="G41" s="66">
        <v>-530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</row>
    <row r="42" spans="1:12" x14ac:dyDescent="0.3">
      <c r="B42" s="13" t="s">
        <v>134</v>
      </c>
      <c r="C42" s="66">
        <v>0</v>
      </c>
      <c r="D42" s="66">
        <v>0</v>
      </c>
      <c r="E42" s="66">
        <v>0</v>
      </c>
      <c r="F42" s="66">
        <v>-1063</v>
      </c>
      <c r="G42" s="66">
        <v>-554</v>
      </c>
      <c r="H42" s="101">
        <v>0</v>
      </c>
      <c r="I42" s="101">
        <v>0</v>
      </c>
      <c r="J42" s="101">
        <v>0</v>
      </c>
      <c r="K42" s="101">
        <v>0</v>
      </c>
      <c r="L42" s="101">
        <v>0</v>
      </c>
    </row>
    <row r="43" spans="1:12" x14ac:dyDescent="0.3">
      <c r="B43" s="13" t="s">
        <v>135</v>
      </c>
      <c r="C43" s="66">
        <v>0</v>
      </c>
      <c r="D43" s="66">
        <v>0</v>
      </c>
      <c r="E43" s="66">
        <v>0</v>
      </c>
      <c r="F43" s="66">
        <v>0</v>
      </c>
      <c r="G43" s="66">
        <v>-6750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</row>
    <row r="44" spans="1:12" x14ac:dyDescent="0.3">
      <c r="B44" s="13" t="s">
        <v>136</v>
      </c>
      <c r="C44" s="66">
        <v>0</v>
      </c>
      <c r="D44" s="66">
        <v>0</v>
      </c>
      <c r="E44" s="66">
        <v>0</v>
      </c>
      <c r="F44" s="66">
        <v>0</v>
      </c>
      <c r="G44" s="66">
        <v>-250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</row>
    <row r="45" spans="1:12" x14ac:dyDescent="0.3">
      <c r="B45" s="13" t="s">
        <v>137</v>
      </c>
      <c r="C45" s="66">
        <v>11950</v>
      </c>
      <c r="D45" s="71">
        <v>6252</v>
      </c>
      <c r="E45" s="66">
        <v>8089</v>
      </c>
      <c r="F45" s="66">
        <v>8177</v>
      </c>
      <c r="G45" s="66">
        <v>9259</v>
      </c>
      <c r="H45" s="131">
        <v>0</v>
      </c>
      <c r="I45" s="131">
        <f t="shared" ref="I45:L45" si="22">H45</f>
        <v>0</v>
      </c>
      <c r="J45" s="131">
        <f t="shared" si="22"/>
        <v>0</v>
      </c>
      <c r="K45" s="131">
        <f t="shared" si="22"/>
        <v>0</v>
      </c>
      <c r="L45" s="131">
        <f t="shared" si="22"/>
        <v>0</v>
      </c>
    </row>
    <row r="46" spans="1:12" x14ac:dyDescent="0.3">
      <c r="B46" s="13" t="s">
        <v>138</v>
      </c>
      <c r="C46" s="66">
        <v>19498</v>
      </c>
      <c r="D46" s="71">
        <v>13654</v>
      </c>
      <c r="E46" s="66">
        <v>846</v>
      </c>
      <c r="F46" s="66">
        <v>170</v>
      </c>
      <c r="G46" s="66">
        <v>0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</row>
    <row r="47" spans="1:12" x14ac:dyDescent="0.3">
      <c r="B47" s="13" t="s">
        <v>139</v>
      </c>
      <c r="C47" s="66">
        <v>73852</v>
      </c>
      <c r="D47" s="71">
        <v>122687</v>
      </c>
      <c r="E47" s="66">
        <v>147204</v>
      </c>
      <c r="F47" s="66">
        <v>147695</v>
      </c>
      <c r="G47" s="66">
        <v>148023</v>
      </c>
      <c r="H47" s="131">
        <v>0</v>
      </c>
      <c r="I47" s="131">
        <f t="shared" ref="I47:L47" si="23">H47</f>
        <v>0</v>
      </c>
      <c r="J47" s="131">
        <f t="shared" si="23"/>
        <v>0</v>
      </c>
      <c r="K47" s="131">
        <f t="shared" si="23"/>
        <v>0</v>
      </c>
      <c r="L47" s="131">
        <f t="shared" si="23"/>
        <v>0</v>
      </c>
    </row>
    <row r="48" spans="1:12" x14ac:dyDescent="0.3">
      <c r="B48" s="13" t="s">
        <v>140</v>
      </c>
      <c r="C48" s="66">
        <v>3</v>
      </c>
      <c r="D48" s="71">
        <v>2</v>
      </c>
      <c r="E48" s="66">
        <v>3</v>
      </c>
      <c r="F48" s="66">
        <v>6</v>
      </c>
      <c r="G48" s="66">
        <v>9</v>
      </c>
      <c r="H48" s="101">
        <v>0</v>
      </c>
      <c r="I48" s="101">
        <v>0</v>
      </c>
      <c r="J48" s="101">
        <v>0</v>
      </c>
      <c r="K48" s="101">
        <v>0</v>
      </c>
      <c r="L48" s="101">
        <v>0</v>
      </c>
    </row>
    <row r="49" spans="1:12" x14ac:dyDescent="0.3">
      <c r="B49" s="13" t="s">
        <v>141</v>
      </c>
      <c r="C49" s="66">
        <v>31</v>
      </c>
      <c r="D49" s="71">
        <v>37</v>
      </c>
      <c r="E49" s="66">
        <v>17</v>
      </c>
      <c r="F49" s="66">
        <v>23</v>
      </c>
      <c r="G49" s="66">
        <v>65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</row>
    <row r="50" spans="1:12" x14ac:dyDescent="0.3">
      <c r="B50" s="13" t="s">
        <v>142</v>
      </c>
      <c r="C50" s="66">
        <v>0</v>
      </c>
      <c r="D50" s="66">
        <v>0</v>
      </c>
      <c r="E50" s="66">
        <v>0</v>
      </c>
      <c r="F50" s="66">
        <v>0</v>
      </c>
      <c r="G50" s="66">
        <v>825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</row>
    <row r="51" spans="1:12" x14ac:dyDescent="0.3">
      <c r="B51" s="13" t="s">
        <v>162</v>
      </c>
      <c r="C51" s="66">
        <v>0</v>
      </c>
      <c r="D51" s="66">
        <v>0</v>
      </c>
      <c r="E51" s="66">
        <v>7</v>
      </c>
      <c r="F51" s="66">
        <v>0</v>
      </c>
      <c r="G51" s="66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</row>
    <row r="52" spans="1:12" x14ac:dyDescent="0.3">
      <c r="B52" s="13" t="s">
        <v>143</v>
      </c>
      <c r="C52" s="66">
        <v>2700</v>
      </c>
      <c r="D52" s="66">
        <v>3080</v>
      </c>
      <c r="E52" s="66">
        <v>2990</v>
      </c>
      <c r="F52" s="66">
        <v>3056</v>
      </c>
      <c r="G52" s="66">
        <v>3008</v>
      </c>
      <c r="H52" s="131">
        <v>0</v>
      </c>
      <c r="I52" s="131">
        <f t="shared" ref="I52:L52" si="24">H52</f>
        <v>0</v>
      </c>
      <c r="J52" s="131">
        <f t="shared" si="24"/>
        <v>0</v>
      </c>
      <c r="K52" s="131">
        <f t="shared" si="24"/>
        <v>0</v>
      </c>
      <c r="L52" s="131">
        <f t="shared" si="24"/>
        <v>0</v>
      </c>
    </row>
    <row r="53" spans="1:12" x14ac:dyDescent="0.3">
      <c r="B53" s="13" t="s">
        <v>144</v>
      </c>
      <c r="C53" s="66">
        <v>4</v>
      </c>
      <c r="D53" s="66">
        <v>13</v>
      </c>
      <c r="E53" s="66">
        <v>26</v>
      </c>
      <c r="F53" s="66">
        <v>40</v>
      </c>
      <c r="G53" s="66">
        <v>84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</row>
    <row r="54" spans="1:12" x14ac:dyDescent="0.3">
      <c r="B54" s="13" t="s">
        <v>145</v>
      </c>
      <c r="C54" s="66">
        <v>0</v>
      </c>
      <c r="D54" s="66">
        <v>0</v>
      </c>
      <c r="E54" s="66">
        <v>0</v>
      </c>
      <c r="F54" s="66">
        <v>-29</v>
      </c>
      <c r="G54" s="66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</row>
    <row r="55" spans="1:12" x14ac:dyDescent="0.3">
      <c r="B55" s="13" t="s">
        <v>146</v>
      </c>
      <c r="C55" s="66">
        <v>0</v>
      </c>
      <c r="D55" s="66">
        <v>0</v>
      </c>
      <c r="E55" s="66">
        <v>0</v>
      </c>
      <c r="F55" s="66">
        <v>3</v>
      </c>
      <c r="G55" s="66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</row>
    <row r="56" spans="1:12" x14ac:dyDescent="0.3">
      <c r="B56" s="13" t="s">
        <v>115</v>
      </c>
      <c r="C56" s="66">
        <v>0</v>
      </c>
      <c r="D56" s="66">
        <v>0</v>
      </c>
      <c r="E56" s="66">
        <v>0</v>
      </c>
      <c r="F56" s="66">
        <v>0</v>
      </c>
      <c r="G56" s="66">
        <v>-18</v>
      </c>
      <c r="H56" s="101">
        <v>0</v>
      </c>
      <c r="I56" s="101">
        <v>0</v>
      </c>
      <c r="J56" s="101">
        <v>0</v>
      </c>
      <c r="K56" s="101">
        <v>0</v>
      </c>
      <c r="L56" s="101">
        <v>0</v>
      </c>
    </row>
    <row r="57" spans="1:12" x14ac:dyDescent="0.3">
      <c r="A57" s="18"/>
      <c r="B57" s="28" t="s">
        <v>147</v>
      </c>
      <c r="C57" s="70">
        <f t="shared" ref="C57:F57" si="25">SUM(C35:C56)</f>
        <v>-897</v>
      </c>
      <c r="D57" s="70">
        <f t="shared" si="25"/>
        <v>39</v>
      </c>
      <c r="E57" s="70">
        <f t="shared" si="25"/>
        <v>6026</v>
      </c>
      <c r="F57" s="70">
        <f t="shared" si="25"/>
        <v>-2317</v>
      </c>
      <c r="G57" s="70">
        <f>SUM(G35:G56)</f>
        <v>-12845</v>
      </c>
      <c r="H57" s="134">
        <f t="shared" ref="H57:L57" si="26">SUM(H35:H56)</f>
        <v>-5668.8641000000007</v>
      </c>
      <c r="I57" s="134">
        <f t="shared" si="26"/>
        <v>-5981.4201380000004</v>
      </c>
      <c r="J57" s="134">
        <f>SUM(J35:J56)</f>
        <v>-6277.6490421000017</v>
      </c>
      <c r="K57" s="134">
        <f t="shared" si="26"/>
        <v>-8176.3395036157517</v>
      </c>
      <c r="L57" s="134">
        <f t="shared" si="26"/>
        <v>-8522.804992417643</v>
      </c>
    </row>
    <row r="58" spans="1:12" x14ac:dyDescent="0.3">
      <c r="B58" s="25" t="s">
        <v>148</v>
      </c>
      <c r="C58" s="67"/>
      <c r="D58" s="67"/>
      <c r="E58" s="67"/>
      <c r="F58" s="67"/>
      <c r="G58" s="67"/>
      <c r="H58" s="130"/>
      <c r="I58" s="130"/>
      <c r="J58" s="130"/>
      <c r="K58" s="130"/>
      <c r="L58" s="130"/>
    </row>
    <row r="59" spans="1:12" x14ac:dyDescent="0.3">
      <c r="B59" s="13" t="s">
        <v>149</v>
      </c>
      <c r="C59" s="66">
        <v>-1417</v>
      </c>
      <c r="D59" s="66">
        <v>-1515</v>
      </c>
      <c r="E59" s="66">
        <v>-1614</v>
      </c>
      <c r="F59" s="66">
        <v>-1664</v>
      </c>
      <c r="G59" s="66">
        <v>-1861</v>
      </c>
      <c r="H59" s="131">
        <v>0</v>
      </c>
      <c r="I59" s="131">
        <f t="shared" ref="I59:L59" si="27">H59</f>
        <v>0</v>
      </c>
      <c r="J59" s="131">
        <f t="shared" si="27"/>
        <v>0</v>
      </c>
      <c r="K59" s="131">
        <f t="shared" si="27"/>
        <v>0</v>
      </c>
      <c r="L59" s="131">
        <f t="shared" si="27"/>
        <v>0</v>
      </c>
    </row>
    <row r="60" spans="1:12" x14ac:dyDescent="0.3">
      <c r="B60" s="13" t="s">
        <v>150</v>
      </c>
      <c r="C60" s="66">
        <v>-698</v>
      </c>
      <c r="D60" s="66">
        <v>-779</v>
      </c>
      <c r="E60" s="66">
        <v>-699</v>
      </c>
      <c r="F60" s="66">
        <v>-840</v>
      </c>
      <c r="G60" s="66">
        <v>-901</v>
      </c>
      <c r="H60" s="131">
        <v>0</v>
      </c>
      <c r="I60" s="131">
        <f t="shared" ref="I60:L60" si="28">H60</f>
        <v>0</v>
      </c>
      <c r="J60" s="131">
        <f t="shared" si="28"/>
        <v>0</v>
      </c>
      <c r="K60" s="131">
        <f t="shared" si="28"/>
        <v>0</v>
      </c>
      <c r="L60" s="131">
        <f t="shared" si="28"/>
        <v>0</v>
      </c>
    </row>
    <row r="61" spans="1:12" x14ac:dyDescent="0.3">
      <c r="B61" s="13" t="s">
        <v>151</v>
      </c>
      <c r="C61" s="66">
        <v>-13317</v>
      </c>
      <c r="D61" s="66">
        <v>-41347</v>
      </c>
      <c r="E61" s="66">
        <v>-25137</v>
      </c>
      <c r="F61" s="66">
        <v>-44864</v>
      </c>
      <c r="G61" s="66">
        <v>-39437</v>
      </c>
      <c r="H61" s="126">
        <f>-'Income Statement'!H27</f>
        <v>-43394.705466903913</v>
      </c>
      <c r="I61" s="126">
        <f>-'Income Statement'!I27</f>
        <v>-42988.993981537991</v>
      </c>
      <c r="J61" s="126">
        <f>-'Income Statement'!J27</f>
        <v>-41265.523787265032</v>
      </c>
      <c r="K61" s="126">
        <f>-'Income Statement'!K27</f>
        <v>-37569.249233709634</v>
      </c>
      <c r="L61" s="126">
        <f>-'Income Statement'!L27</f>
        <v>-32820.517113352005</v>
      </c>
    </row>
    <row r="62" spans="1:12" x14ac:dyDescent="0.3">
      <c r="B62" s="13" t="s">
        <v>152</v>
      </c>
      <c r="C62" s="66">
        <v>-58</v>
      </c>
      <c r="D62" s="66">
        <v>-63</v>
      </c>
      <c r="E62" s="66">
        <v>-81</v>
      </c>
      <c r="F62" s="66">
        <v>-98</v>
      </c>
      <c r="G62" s="66">
        <v>-134</v>
      </c>
      <c r="H62" s="131">
        <v>0</v>
      </c>
      <c r="I62" s="131">
        <f t="shared" ref="I62:L62" si="29">H62</f>
        <v>0</v>
      </c>
      <c r="J62" s="131">
        <f t="shared" si="29"/>
        <v>0</v>
      </c>
      <c r="K62" s="131">
        <f t="shared" si="29"/>
        <v>0</v>
      </c>
      <c r="L62" s="131">
        <f t="shared" si="29"/>
        <v>0</v>
      </c>
    </row>
    <row r="63" spans="1:12" outlineLevel="1" x14ac:dyDescent="0.3">
      <c r="B63" s="13" t="s">
        <v>153</v>
      </c>
      <c r="C63" s="66">
        <v>0</v>
      </c>
      <c r="D63" s="66">
        <v>0</v>
      </c>
      <c r="E63" s="66">
        <v>0</v>
      </c>
      <c r="F63" s="66">
        <v>28</v>
      </c>
      <c r="G63" s="66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</row>
    <row r="64" spans="1:12" outlineLevel="1" x14ac:dyDescent="0.3">
      <c r="B64" s="13" t="s">
        <v>154</v>
      </c>
      <c r="C64" s="66">
        <v>-24</v>
      </c>
      <c r="D64" s="66">
        <v>0</v>
      </c>
      <c r="E64" s="66">
        <v>0</v>
      </c>
      <c r="F64" s="66">
        <v>0</v>
      </c>
      <c r="G64" s="66">
        <v>3</v>
      </c>
      <c r="H64" s="101">
        <v>0</v>
      </c>
      <c r="I64" s="101">
        <v>0</v>
      </c>
      <c r="J64" s="101">
        <v>0</v>
      </c>
      <c r="K64" s="101">
        <v>0</v>
      </c>
      <c r="L64" s="101">
        <v>0</v>
      </c>
    </row>
    <row r="65" spans="1:12" outlineLevel="1" x14ac:dyDescent="0.3">
      <c r="B65" s="13" t="s">
        <v>155</v>
      </c>
      <c r="C65" s="66">
        <v>0</v>
      </c>
      <c r="D65" s="66">
        <v>0</v>
      </c>
      <c r="E65" s="66">
        <v>0</v>
      </c>
      <c r="F65" s="66">
        <v>0</v>
      </c>
      <c r="G65" s="66">
        <v>71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</row>
    <row r="66" spans="1:12" outlineLevel="1" x14ac:dyDescent="0.3">
      <c r="B66" s="13" t="s">
        <v>156</v>
      </c>
      <c r="C66" s="66">
        <v>0</v>
      </c>
      <c r="D66" s="66">
        <v>0</v>
      </c>
      <c r="E66" s="66">
        <v>0</v>
      </c>
      <c r="F66" s="66">
        <v>0</v>
      </c>
      <c r="G66" s="66">
        <v>126</v>
      </c>
      <c r="H66" s="101">
        <v>0</v>
      </c>
      <c r="I66" s="101">
        <v>0</v>
      </c>
      <c r="J66" s="101">
        <v>0</v>
      </c>
      <c r="K66" s="101">
        <v>0</v>
      </c>
      <c r="L66" s="101">
        <v>0</v>
      </c>
    </row>
    <row r="67" spans="1:12" outlineLevel="1" x14ac:dyDescent="0.3">
      <c r="B67" s="13" t="s">
        <v>163</v>
      </c>
      <c r="C67" s="66">
        <v>-180</v>
      </c>
      <c r="D67" s="66">
        <v>18</v>
      </c>
      <c r="E67" s="66">
        <v>-425</v>
      </c>
      <c r="F67" s="66">
        <v>0</v>
      </c>
      <c r="G67" s="66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</row>
    <row r="68" spans="1:12" outlineLevel="1" x14ac:dyDescent="0.3">
      <c r="B68" s="13" t="s">
        <v>164</v>
      </c>
      <c r="C68" s="66">
        <v>162</v>
      </c>
      <c r="D68" s="66">
        <v>0</v>
      </c>
      <c r="E68" s="66">
        <v>425</v>
      </c>
      <c r="F68" s="66">
        <v>0</v>
      </c>
      <c r="G68" s="66">
        <v>0</v>
      </c>
      <c r="H68" s="101">
        <v>0</v>
      </c>
      <c r="I68" s="101">
        <v>0</v>
      </c>
      <c r="J68" s="101">
        <v>0</v>
      </c>
      <c r="K68" s="101">
        <v>0</v>
      </c>
      <c r="L68" s="101">
        <v>0</v>
      </c>
    </row>
    <row r="69" spans="1:12" outlineLevel="1" x14ac:dyDescent="0.3">
      <c r="B69" s="13" t="s">
        <v>165</v>
      </c>
      <c r="C69" s="66">
        <v>-49</v>
      </c>
      <c r="D69" s="66">
        <v>0</v>
      </c>
      <c r="E69" s="66">
        <v>-46</v>
      </c>
      <c r="F69" s="66">
        <v>0</v>
      </c>
      <c r="G69" s="66">
        <v>0</v>
      </c>
      <c r="H69" s="101">
        <v>0</v>
      </c>
      <c r="I69" s="101">
        <v>0</v>
      </c>
      <c r="J69" s="101">
        <v>0</v>
      </c>
      <c r="K69" s="101">
        <v>0</v>
      </c>
      <c r="L69" s="101">
        <v>0</v>
      </c>
    </row>
    <row r="70" spans="1:12" outlineLevel="1" x14ac:dyDescent="0.3">
      <c r="B70" s="13" t="s">
        <v>166</v>
      </c>
      <c r="C70" s="66">
        <v>0</v>
      </c>
      <c r="D70" s="66">
        <v>-4192</v>
      </c>
      <c r="E70" s="66">
        <v>-3959</v>
      </c>
      <c r="F70" s="66">
        <v>0</v>
      </c>
      <c r="G70" s="66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</row>
    <row r="71" spans="1:12" outlineLevel="1" x14ac:dyDescent="0.3">
      <c r="B71" s="13" t="s">
        <v>167</v>
      </c>
      <c r="C71" s="66">
        <v>18000</v>
      </c>
      <c r="D71" s="66">
        <v>0</v>
      </c>
      <c r="E71" s="66">
        <v>-17000</v>
      </c>
      <c r="F71" s="66">
        <v>0</v>
      </c>
      <c r="G71" s="66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</row>
    <row r="72" spans="1:12" x14ac:dyDescent="0.3">
      <c r="A72" s="21"/>
      <c r="B72" s="28" t="s">
        <v>157</v>
      </c>
      <c r="C72" s="70">
        <f>SUM(C59:C71)</f>
        <v>2419</v>
      </c>
      <c r="D72" s="70">
        <f t="shared" ref="D72:L72" si="30">SUM(D59:D71)</f>
        <v>-47878</v>
      </c>
      <c r="E72" s="70">
        <f t="shared" si="30"/>
        <v>-48536</v>
      </c>
      <c r="F72" s="70">
        <f t="shared" si="30"/>
        <v>-47438</v>
      </c>
      <c r="G72" s="70">
        <f t="shared" si="30"/>
        <v>-42133</v>
      </c>
      <c r="H72" s="70">
        <f t="shared" si="30"/>
        <v>-43394.705466903913</v>
      </c>
      <c r="I72" s="70">
        <f t="shared" si="30"/>
        <v>-42988.993981537991</v>
      </c>
      <c r="J72" s="70">
        <f t="shared" si="30"/>
        <v>-41265.523787265032</v>
      </c>
      <c r="K72" s="70">
        <f t="shared" si="30"/>
        <v>-37569.249233709634</v>
      </c>
      <c r="L72" s="70">
        <f t="shared" si="30"/>
        <v>-32820.517113352005</v>
      </c>
    </row>
    <row r="73" spans="1:12" x14ac:dyDescent="0.3">
      <c r="B73" t="s">
        <v>158</v>
      </c>
      <c r="C73" s="66">
        <v>5471</v>
      </c>
      <c r="D73" s="66">
        <v>-5874</v>
      </c>
      <c r="E73" s="66">
        <v>1828</v>
      </c>
      <c r="F73" s="66">
        <v>-848</v>
      </c>
      <c r="G73" s="66">
        <v>-2884</v>
      </c>
      <c r="H73" s="135">
        <f>SUM(H33,H57,H72)</f>
        <v>14673.708001344814</v>
      </c>
      <c r="I73" s="135">
        <f>SUM(I33,I57,I72)</f>
        <v>12057.472996591161</v>
      </c>
      <c r="J73" s="135">
        <f>SUM(J33,J57,J72)</f>
        <v>12566.604527459189</v>
      </c>
      <c r="K73" s="135">
        <f>SUM(K33,K57,K72)</f>
        <v>11346.601636133499</v>
      </c>
      <c r="L73" s="135">
        <f>SUM(L33,L57,L72)</f>
        <v>11702.328609412769</v>
      </c>
    </row>
    <row r="74" spans="1:12" x14ac:dyDescent="0.3">
      <c r="B74" t="s">
        <v>159</v>
      </c>
      <c r="C74" s="66">
        <v>6858</v>
      </c>
      <c r="D74" s="66">
        <v>12488</v>
      </c>
      <c r="E74" s="66">
        <v>7123</v>
      </c>
      <c r="F74" s="66">
        <v>9016</v>
      </c>
      <c r="G74" s="66">
        <v>8342</v>
      </c>
      <c r="H74" s="135">
        <f>G76</f>
        <v>6417</v>
      </c>
      <c r="I74" s="135">
        <f t="shared" ref="I74:L74" si="31">H76</f>
        <v>21090.708001344814</v>
      </c>
      <c r="J74" s="135">
        <f t="shared" si="31"/>
        <v>33148.180997935975</v>
      </c>
      <c r="K74" s="135">
        <f t="shared" si="31"/>
        <v>45714.785525395164</v>
      </c>
      <c r="L74" s="135">
        <f t="shared" si="31"/>
        <v>57061.387161528663</v>
      </c>
    </row>
    <row r="75" spans="1:12" x14ac:dyDescent="0.3">
      <c r="B75" t="s">
        <v>160</v>
      </c>
      <c r="C75" s="66">
        <v>159</v>
      </c>
      <c r="D75" s="66">
        <v>509</v>
      </c>
      <c r="E75" s="66">
        <v>65</v>
      </c>
      <c r="F75" s="66">
        <v>174</v>
      </c>
      <c r="G75" s="66">
        <v>959</v>
      </c>
      <c r="H75" s="131">
        <v>0</v>
      </c>
      <c r="I75" s="131">
        <f t="shared" ref="I75:L75" si="32">H75</f>
        <v>0</v>
      </c>
      <c r="J75" s="131">
        <f t="shared" si="32"/>
        <v>0</v>
      </c>
      <c r="K75" s="131">
        <f t="shared" si="32"/>
        <v>0</v>
      </c>
      <c r="L75" s="131">
        <f t="shared" si="32"/>
        <v>0</v>
      </c>
    </row>
    <row r="76" spans="1:12" x14ac:dyDescent="0.3">
      <c r="A76" s="21"/>
      <c r="B76" s="21" t="s">
        <v>161</v>
      </c>
      <c r="C76" s="70">
        <f t="shared" ref="C76:F76" si="33">SUM(C73:C75)</f>
        <v>12488</v>
      </c>
      <c r="D76" s="70">
        <f t="shared" si="33"/>
        <v>7123</v>
      </c>
      <c r="E76" s="70">
        <f t="shared" si="33"/>
        <v>9016</v>
      </c>
      <c r="F76" s="70">
        <f t="shared" si="33"/>
        <v>8342</v>
      </c>
      <c r="G76" s="70">
        <f>SUM(G73:G75)</f>
        <v>6417</v>
      </c>
      <c r="H76" s="133">
        <f>SUM(H73:H75)</f>
        <v>21090.708001344814</v>
      </c>
      <c r="I76" s="133">
        <f t="shared" ref="I76:L76" si="34">SUM(I73:I75)</f>
        <v>33148.180997935975</v>
      </c>
      <c r="J76" s="133">
        <f t="shared" si="34"/>
        <v>45714.785525395164</v>
      </c>
      <c r="K76" s="133">
        <f t="shared" si="34"/>
        <v>57061.387161528663</v>
      </c>
      <c r="L76" s="133">
        <f t="shared" si="34"/>
        <v>68763.715770941431</v>
      </c>
    </row>
    <row r="78" spans="1:12" x14ac:dyDescent="0.3">
      <c r="F78" s="32"/>
      <c r="G78" s="32"/>
    </row>
    <row r="79" spans="1:12" x14ac:dyDescent="0.3">
      <c r="G79" s="94"/>
    </row>
  </sheetData>
  <mergeCells count="2">
    <mergeCell ref="C1:G1"/>
    <mergeCell ref="H1:L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E224-DFAE-4996-A4D3-34DD19B53CC0}">
  <dimension ref="A1:N26"/>
  <sheetViews>
    <sheetView showGridLines="0" topLeftCell="A12" workbookViewId="0">
      <selection activeCell="B37" sqref="B37"/>
    </sheetView>
  </sheetViews>
  <sheetFormatPr defaultRowHeight="14.4" x14ac:dyDescent="0.3"/>
  <cols>
    <col min="1" max="1" width="3.109375" customWidth="1"/>
    <col min="2" max="2" width="49.44140625" customWidth="1"/>
    <col min="3" max="12" width="9.21875" customWidth="1"/>
    <col min="13" max="16384" width="8.88671875" style="11"/>
  </cols>
  <sheetData>
    <row r="1" spans="1:14" ht="20.399999999999999" thickBot="1" x14ac:dyDescent="0.45">
      <c r="B1" s="8" t="s">
        <v>0</v>
      </c>
      <c r="C1" s="237" t="s">
        <v>16</v>
      </c>
      <c r="D1" s="237"/>
      <c r="E1" s="237"/>
      <c r="F1" s="237"/>
      <c r="G1" s="237"/>
      <c r="H1" s="238" t="s">
        <v>17</v>
      </c>
      <c r="I1" s="238"/>
      <c r="J1" s="238"/>
      <c r="K1" s="238"/>
      <c r="L1" s="238"/>
    </row>
    <row r="2" spans="1:14" x14ac:dyDescent="0.3">
      <c r="B2" s="18" t="s">
        <v>27</v>
      </c>
      <c r="C2" s="16" t="s">
        <v>18</v>
      </c>
      <c r="D2" s="16" t="s">
        <v>28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  <c r="L2" s="16" t="s">
        <v>26</v>
      </c>
    </row>
    <row r="3" spans="1:14" x14ac:dyDescent="0.3">
      <c r="B3" s="2" t="s">
        <v>172</v>
      </c>
    </row>
    <row r="4" spans="1:14" x14ac:dyDescent="0.3">
      <c r="B4" s="13" t="s">
        <v>169</v>
      </c>
      <c r="C4" s="41">
        <f>'Balance Sheet'!C13/'Balance Sheet'!C38</f>
        <v>2.5574366602913745</v>
      </c>
      <c r="D4" s="41">
        <f>'Balance Sheet'!D13/'Balance Sheet'!D38</f>
        <v>2.5315671059277287</v>
      </c>
      <c r="E4" s="41">
        <f>'Balance Sheet'!E13/'Balance Sheet'!E38</f>
        <v>2.4506333506854068</v>
      </c>
      <c r="F4" s="41">
        <f>'Balance Sheet'!F13/'Balance Sheet'!F38</f>
        <v>2.3209184732363539</v>
      </c>
      <c r="G4" s="41">
        <f>'Balance Sheet'!G13/'Balance Sheet'!G38</f>
        <v>2.2278129822372525</v>
      </c>
      <c r="H4" s="41">
        <f>'Balance Sheet'!H13/'Balance Sheet'!H38</f>
        <v>2.4980360235527255</v>
      </c>
      <c r="I4" s="41">
        <f>'Balance Sheet'!I13/'Balance Sheet'!I38</f>
        <v>2.7255832298359191</v>
      </c>
      <c r="J4" s="41">
        <f>'Balance Sheet'!J13/'Balance Sheet'!J38</f>
        <v>2.9501889528464296</v>
      </c>
      <c r="K4" s="41">
        <f>'Balance Sheet'!K13/'Balance Sheet'!K38</f>
        <v>3.1403474699888418</v>
      </c>
      <c r="L4" s="41">
        <f>'Balance Sheet'!L13/'Balance Sheet'!L38</f>
        <v>3.3305373571846406</v>
      </c>
    </row>
    <row r="5" spans="1:14" x14ac:dyDescent="0.3">
      <c r="B5" s="13" t="s">
        <v>170</v>
      </c>
      <c r="C5" s="41">
        <f>SUM('Balance Sheet'!C4:C11)/'Balance Sheet'!C38</f>
        <v>2.5569644164246417</v>
      </c>
      <c r="D5" s="41">
        <f>SUM('Balance Sheet'!D4:D11)/'Balance Sheet'!D38</f>
        <v>2.5309242848615638</v>
      </c>
      <c r="E5" s="41">
        <f>SUM('Balance Sheet'!E4:E11)/'Balance Sheet'!E38</f>
        <v>2.4500260281103592</v>
      </c>
      <c r="F5" s="41">
        <f>SUM('Balance Sheet'!F4:F11)/'Balance Sheet'!F38</f>
        <v>2.3205222542970887</v>
      </c>
      <c r="G5" s="41">
        <f>SUM('Balance Sheet'!G4:G11)/'Balance Sheet'!G38</f>
        <v>2.2273369012049775</v>
      </c>
      <c r="H5" s="41">
        <f>SUM('Balance Sheet'!H4:H11)/'Balance Sheet'!H38</f>
        <v>2.4975319571403376</v>
      </c>
      <c r="I5" s="41">
        <f>SUM('Balance Sheet'!I4:I11)/'Balance Sheet'!I38</f>
        <v>2.7250857694136701</v>
      </c>
      <c r="J5" s="41">
        <f>SUM('Balance Sheet'!J4:J11)/'Balance Sheet'!J38</f>
        <v>2.9496983060320665</v>
      </c>
      <c r="K5" s="41">
        <f>SUM('Balance Sheet'!K4:K11)/'Balance Sheet'!K38</f>
        <v>3.1398638424637082</v>
      </c>
      <c r="L5" s="41">
        <f>SUM('Balance Sheet'!L4:L11)/'Balance Sheet'!L38</f>
        <v>3.330060951861193</v>
      </c>
    </row>
    <row r="6" spans="1:14" x14ac:dyDescent="0.3">
      <c r="A6" s="42"/>
      <c r="B6" s="43" t="s">
        <v>171</v>
      </c>
      <c r="C6" s="44">
        <f>'Balance Sheet'!C4/'Balance Sheet'!C38</f>
        <v>0.29486907038794835</v>
      </c>
      <c r="D6" s="44">
        <f>'Balance Sheet'!D4/'Balance Sheet'!D38</f>
        <v>0.16352908765324395</v>
      </c>
      <c r="E6" s="44">
        <f>'Balance Sheet'!E4/'Balance Sheet'!E38</f>
        <v>0.19555786916536527</v>
      </c>
      <c r="F6" s="44">
        <f>'Balance Sheet'!F4/'Balance Sheet'!F38</f>
        <v>0.15739325673100507</v>
      </c>
      <c r="G6" s="44">
        <f>'Balance Sheet'!G4/'Balance Sheet'!G38</f>
        <v>0.10534524083133598</v>
      </c>
      <c r="H6" s="44">
        <f>'Balance Sheet'!H4/'Balance Sheet'!H38</f>
        <v>0.35437058389848319</v>
      </c>
      <c r="I6" s="44">
        <f>'Balance Sheet'!I4/'Balance Sheet'!I38</f>
        <v>0.5496636038672349</v>
      </c>
      <c r="J6" s="44">
        <f>'Balance Sheet'!J4/'Balance Sheet'!J38</f>
        <v>0.74766046291096921</v>
      </c>
      <c r="K6" s="44">
        <f>'Balance Sheet'!K4/'Balance Sheet'!K38</f>
        <v>0.91988191512061634</v>
      </c>
      <c r="L6" s="44">
        <f>'Balance Sheet'!L4/'Balance Sheet'!L38</f>
        <v>1.0919800084430484</v>
      </c>
    </row>
    <row r="7" spans="1:14" x14ac:dyDescent="0.3">
      <c r="B7" s="2" t="s">
        <v>168</v>
      </c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4" x14ac:dyDescent="0.3">
      <c r="B8" s="13" t="s">
        <v>173</v>
      </c>
      <c r="C8" s="41">
        <f>0/'Balance Sheet'!C52</f>
        <v>0</v>
      </c>
      <c r="D8" s="41">
        <f>0/'Balance Sheet'!D52</f>
        <v>0</v>
      </c>
      <c r="E8" s="41">
        <f>0/'Balance Sheet'!E52</f>
        <v>0</v>
      </c>
      <c r="F8" s="41">
        <f>0/'Balance Sheet'!F52</f>
        <v>0</v>
      </c>
      <c r="G8" s="41">
        <f>0/'Balance Sheet'!G52</f>
        <v>0</v>
      </c>
      <c r="H8" s="41">
        <f>0/'Balance Sheet'!H52</f>
        <v>0</v>
      </c>
      <c r="I8" s="41">
        <f>0/'Balance Sheet'!I52</f>
        <v>0</v>
      </c>
      <c r="J8" s="41">
        <f>0/'Balance Sheet'!J52</f>
        <v>0</v>
      </c>
      <c r="K8" s="41">
        <f>0/'Balance Sheet'!K52</f>
        <v>0</v>
      </c>
      <c r="L8" s="41">
        <f>0/'Balance Sheet'!L52</f>
        <v>0</v>
      </c>
    </row>
    <row r="9" spans="1:14" x14ac:dyDescent="0.3">
      <c r="B9" s="13" t="s">
        <v>174</v>
      </c>
      <c r="C9" s="41">
        <f>0/'Balance Sheet'!C28</f>
        <v>0</v>
      </c>
      <c r="D9" s="41">
        <f>0/'Balance Sheet'!D28</f>
        <v>0</v>
      </c>
      <c r="E9" s="41">
        <f>0/'Balance Sheet'!E28</f>
        <v>0</v>
      </c>
      <c r="F9" s="41">
        <f>0/'Balance Sheet'!F28</f>
        <v>0</v>
      </c>
      <c r="G9" s="41">
        <f>0/'Balance Sheet'!G28</f>
        <v>0</v>
      </c>
      <c r="H9" s="41">
        <f>0/'Balance Sheet'!H28</f>
        <v>0</v>
      </c>
      <c r="I9" s="41">
        <f>0/'Balance Sheet'!I28</f>
        <v>0</v>
      </c>
      <c r="J9" s="41">
        <f>0/'Balance Sheet'!J28</f>
        <v>0</v>
      </c>
      <c r="K9" s="41">
        <f>0/'Balance Sheet'!K28</f>
        <v>0</v>
      </c>
      <c r="L9" s="41">
        <f>0/'Balance Sheet'!L28</f>
        <v>0</v>
      </c>
    </row>
    <row r="10" spans="1:14" x14ac:dyDescent="0.3">
      <c r="A10" s="42"/>
      <c r="B10" s="43" t="s">
        <v>175</v>
      </c>
      <c r="C10" s="44">
        <f>'Income Statement'!C11/-'Income Statement'!C13</f>
        <v>61.802295918367349</v>
      </c>
      <c r="D10" s="44">
        <f>'Income Statement'!D11/-'Income Statement'!D13</f>
        <v>69.623876765083438</v>
      </c>
      <c r="E10" s="44">
        <f>'Income Statement'!E11/-'Income Statement'!E13</f>
        <v>76.235218508997434</v>
      </c>
      <c r="F10" s="44">
        <f>'Income Statement'!F11/-'Income Statement'!F13</f>
        <v>78.096733668341713</v>
      </c>
      <c r="G10" s="44">
        <f>'Income Statement'!G11/-'Income Statement'!G13</f>
        <v>54.472697636511818</v>
      </c>
      <c r="H10" s="44">
        <f>'Income Statement'!H11/-'Income Statement'!H13</f>
        <v>55.757021714852002</v>
      </c>
      <c r="I10" s="44">
        <f>'Income Statement'!I11/-'Income Statement'!I13</f>
        <v>55.207956456669947</v>
      </c>
      <c r="J10" s="44">
        <f>'Income Statement'!J11/-'Income Statement'!J13</f>
        <v>52.875516677859942</v>
      </c>
      <c r="K10" s="44">
        <f>'Income Statement'!K11/-'Income Statement'!K13</f>
        <v>47.873203420128974</v>
      </c>
      <c r="L10" s="44">
        <f>'Income Statement'!L11/-'Income Statement'!L13</f>
        <v>41.446558077934732</v>
      </c>
    </row>
    <row r="11" spans="1:14" x14ac:dyDescent="0.3">
      <c r="B11" s="2" t="s">
        <v>176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4" x14ac:dyDescent="0.3">
      <c r="B12" s="13" t="s">
        <v>177</v>
      </c>
      <c r="C12" s="30">
        <f>-SUM('Income Statement'!C4:C5)/'Balance Sheet'!C12</f>
        <v>5435.85</v>
      </c>
      <c r="D12" s="30">
        <f>-SUM('Income Statement'!D4:D5)/'Balance Sheet'!D12</f>
        <v>4621.5357142857147</v>
      </c>
      <c r="E12" s="30">
        <f>-SUM('Income Statement'!E4:E5)/'Balance Sheet'!E12</f>
        <v>5136.8928571428569</v>
      </c>
      <c r="F12" s="30">
        <f>-SUM('Income Statement'!F4:F5)/'Balance Sheet'!F12</f>
        <v>7496.9523809523807</v>
      </c>
      <c r="G12" s="30">
        <f>-SUM('Income Statement'!G4:G5)/'Balance Sheet'!G12</f>
        <v>5496.3103448275861</v>
      </c>
      <c r="H12" s="30">
        <f>-SUM('Income Statement'!H4:H5)/'Balance Sheet'!H12</f>
        <v>5626.0206666666672</v>
      </c>
      <c r="I12" s="30">
        <f>-SUM('Income Statement'!I4:I5)/'Balance Sheet'!I12</f>
        <v>5957.599266666668</v>
      </c>
      <c r="J12" s="30">
        <f>-SUM('Income Statement'!J4:J5)/'Balance Sheet'!J12</f>
        <v>6308.9529298666685</v>
      </c>
      <c r="K12" s="30">
        <f>-SUM('Income Statement'!K4:K5)/'Balance Sheet'!K12</f>
        <v>6681.2657670026674</v>
      </c>
      <c r="L12" s="30">
        <f>-SUM('Income Statement'!L4:L5)/'Balance Sheet'!L12</f>
        <v>7075.7928875937077</v>
      </c>
    </row>
    <row r="13" spans="1:14" x14ac:dyDescent="0.3">
      <c r="B13" s="13" t="s">
        <v>183</v>
      </c>
      <c r="C13" s="41">
        <f>-SUM('Income Statement'!C4:C5)/'Balance Sheet'!C31</f>
        <v>13.5136109384711</v>
      </c>
      <c r="D13" s="41">
        <f>-SUM('Income Statement'!D4:D5)/'Balance Sheet'!D31</f>
        <v>12.306514503090822</v>
      </c>
      <c r="E13" s="41">
        <f>-SUM('Income Statement'!E4:E5)/'Balance Sheet'!E31</f>
        <v>14.410680292555856</v>
      </c>
      <c r="F13" s="41">
        <f>-SUM('Income Statement'!F4:F5)/'Balance Sheet'!F31</f>
        <v>11.319002084980948</v>
      </c>
      <c r="G13" s="41">
        <f>-SUM('Income Statement'!G4:G5)/'Balance Sheet'!G31</f>
        <v>10.763978930307943</v>
      </c>
      <c r="H13" s="41">
        <f>-SUM('Income Statement'!H4:H5)/'Balance Sheet'!H31</f>
        <v>12.586206896551726</v>
      </c>
      <c r="I13" s="41">
        <f>-SUM('Income Statement'!I4:I5)/'Balance Sheet'!I31</f>
        <v>12.586206896551726</v>
      </c>
      <c r="J13" s="41">
        <f>-SUM('Income Statement'!J4:J5)/'Balance Sheet'!J31</f>
        <v>12.586206896551722</v>
      </c>
      <c r="K13" s="41">
        <f>-SUM('Income Statement'!K4:K5)/'Balance Sheet'!K31</f>
        <v>12.586206896551724</v>
      </c>
      <c r="L13" s="41">
        <f>-SUM('Income Statement'!L4:L5)/'Balance Sheet'!L31</f>
        <v>12.586206896551726</v>
      </c>
    </row>
    <row r="14" spans="1:14" x14ac:dyDescent="0.3">
      <c r="A14" s="42"/>
      <c r="B14" s="43" t="s">
        <v>178</v>
      </c>
      <c r="C14" s="44">
        <f>'Income Statement'!C3/'Balance Sheet'!C28</f>
        <v>1.3550178780898003</v>
      </c>
      <c r="D14" s="44">
        <f>'Income Statement'!D3/'Balance Sheet'!D28</f>
        <v>1.5694843753263117</v>
      </c>
      <c r="E14" s="44">
        <f>'Income Statement'!E3/'Balance Sheet'!E28</f>
        <v>1.6448934441341354</v>
      </c>
      <c r="F14" s="44">
        <f>'Income Statement'!F3/'Balance Sheet'!F28</f>
        <v>1.5994838030683647</v>
      </c>
      <c r="G14" s="44">
        <f>'Income Statement'!G3/'Balance Sheet'!G28</f>
        <v>1.4641556817932577</v>
      </c>
      <c r="H14" s="44">
        <f>'Income Statement'!H3/'Balance Sheet'!H28</f>
        <v>1.4554490377882747</v>
      </c>
      <c r="I14" s="44">
        <f>'Income Statement'!I3/'Balance Sheet'!I28</f>
        <v>1.4295543001820019</v>
      </c>
      <c r="J14" s="44">
        <f>'Income Statement'!J3/'Balance Sheet'!J28</f>
        <v>1.4058129731210647</v>
      </c>
      <c r="K14" s="44">
        <f>'Income Statement'!K3/'Balance Sheet'!K28</f>
        <v>1.3831552826769316</v>
      </c>
      <c r="L14" s="44">
        <f>'Income Statement'!L3/'Balance Sheet'!L28</f>
        <v>1.3719822081608253</v>
      </c>
    </row>
    <row r="15" spans="1:14" x14ac:dyDescent="0.3">
      <c r="B15" s="2" t="s">
        <v>179</v>
      </c>
    </row>
    <row r="16" spans="1:14" s="40" customFormat="1" x14ac:dyDescent="0.3">
      <c r="A16" s="38"/>
      <c r="B16" s="39" t="s">
        <v>184</v>
      </c>
      <c r="C16" s="45">
        <f>'Income Statement'!C7/'Income Statement'!C3</f>
        <v>0.43303920648330674</v>
      </c>
      <c r="D16" s="45">
        <f>'Income Statement'!D7/'Income Statement'!D3</f>
        <v>0.42604387513417136</v>
      </c>
      <c r="E16" s="45">
        <f>'Income Statement'!E7/'Income Statement'!E3</f>
        <v>0.40291747788437188</v>
      </c>
      <c r="F16" s="45">
        <f>'Income Statement'!F7/'Income Statement'!F3</f>
        <v>0.38338738230640285</v>
      </c>
      <c r="G16" s="45">
        <f>'Income Statement'!G7/'Income Statement'!G3</f>
        <v>0.4030694215061737</v>
      </c>
      <c r="H16" s="45">
        <f>'Income Statement'!H7/'Income Statement'!H3</f>
        <v>0.40453460508958039</v>
      </c>
      <c r="I16" s="45">
        <f>'Income Statement'!I7/'Income Statement'!I3</f>
        <v>0.40238948652163709</v>
      </c>
      <c r="J16" s="45">
        <f>'Income Statement'!J7/'Income Statement'!J3</f>
        <v>0.3970080626466948</v>
      </c>
      <c r="K16" s="45">
        <f>'Income Statement'!K7/'Income Statement'!K3</f>
        <v>0.38714025719748402</v>
      </c>
      <c r="L16" s="45">
        <f>'Income Statement'!L7/'Income Statement'!L3</f>
        <v>0.37733590403434758</v>
      </c>
      <c r="N16" s="11"/>
    </row>
    <row r="17" spans="1:12" s="40" customFormat="1" x14ac:dyDescent="0.3">
      <c r="A17" s="38"/>
      <c r="B17" s="39" t="s">
        <v>186</v>
      </c>
      <c r="C17" s="45">
        <f>'Income Statement'!C11/'Income Statement'!C3</f>
        <v>0.25268312525423198</v>
      </c>
      <c r="D17" s="45">
        <f>'Income Statement'!D11/'Income Statement'!D3</f>
        <v>0.24056365265370933</v>
      </c>
      <c r="E17" s="45">
        <f>'Income Statement'!E11/'Income Statement'!E3</f>
        <v>0.24621304894704288</v>
      </c>
      <c r="F17" s="45">
        <f>'Income Statement'!F11/'Income Statement'!F3</f>
        <v>0.24347495730914445</v>
      </c>
      <c r="G17" s="45">
        <f>'Income Statement'!G11/'Income Statement'!G3</f>
        <v>0.25030990071941905</v>
      </c>
      <c r="H17" s="45">
        <f>'Income Statement'!H11/'Income Statement'!H3</f>
        <v>0.24136710436972161</v>
      </c>
      <c r="I17" s="45">
        <f>'Income Statement'!I11/'Income Statement'!I3</f>
        <v>0.2265019376986423</v>
      </c>
      <c r="J17" s="45">
        <f>'Income Statement'!J11/'Income Statement'!J3</f>
        <v>0.20669603709490278</v>
      </c>
      <c r="K17" s="45">
        <f>'Income Statement'!K11/'Income Statement'!K3</f>
        <v>0.17960488483422804</v>
      </c>
      <c r="L17" s="45">
        <f>'Income Statement'!L11/'Income Statement'!L3</f>
        <v>0.14917309150822194</v>
      </c>
    </row>
    <row r="18" spans="1:12" s="40" customFormat="1" x14ac:dyDescent="0.3">
      <c r="A18" s="38"/>
      <c r="B18" s="39" t="s">
        <v>185</v>
      </c>
      <c r="C18" s="45">
        <f>'Income Statement'!C23/'Income Statement'!C3</f>
        <v>0.20051211448001086</v>
      </c>
      <c r="D18" s="45">
        <f>'Income Statement'!D23/'Income Statement'!D3</f>
        <v>0.18763139919630265</v>
      </c>
      <c r="E18" s="45">
        <f>'Income Statement'!E23/'Income Statement'!E3</f>
        <v>0.19136712150207769</v>
      </c>
      <c r="F18" s="45">
        <f>'Income Statement'!F23/'Income Statement'!F3</f>
        <v>0.19111795209224358</v>
      </c>
      <c r="G18" s="45">
        <f>'Income Statement'!G23/'Income Statement'!G3</f>
        <v>0.18520640698671639</v>
      </c>
      <c r="H18" s="45">
        <f>'Income Statement'!H23/'Income Statement'!H3</f>
        <v>0.19198542034623048</v>
      </c>
      <c r="I18" s="45">
        <f>'Income Statement'!I23/'Income Statement'!I3</f>
        <v>0.18025217887807143</v>
      </c>
      <c r="J18" s="45">
        <f>'Income Statement'!J23/'Income Statement'!J3</f>
        <v>0.16486098083830225</v>
      </c>
      <c r="K18" s="45">
        <f>'Income Statement'!K23/'Income Statement'!K3</f>
        <v>0.14404930355300588</v>
      </c>
      <c r="L18" s="45">
        <f>'Income Statement'!L23/'Income Statement'!L3</f>
        <v>0.12072589411940061</v>
      </c>
    </row>
    <row r="19" spans="1:12" x14ac:dyDescent="0.3">
      <c r="B19" s="13" t="s">
        <v>180</v>
      </c>
      <c r="C19" s="46">
        <f>'Income Statement'!C23/'Balance Sheet'!C28</f>
        <v>0.27169749989400344</v>
      </c>
      <c r="D19" s="46">
        <f>'Income Statement'!D23/'Balance Sheet'!D28</f>
        <v>0.29448454935921087</v>
      </c>
      <c r="E19" s="46">
        <f>'Income Statement'!E23/'Balance Sheet'!E28</f>
        <v>0.31477852358158814</v>
      </c>
      <c r="F19" s="46">
        <f>'Income Statement'!F23/'Balance Sheet'!F28</f>
        <v>0.30569006884713928</v>
      </c>
      <c r="G19" s="46">
        <f>'Income Statement'!G23/'Balance Sheet'!G28</f>
        <v>0.27117101309411534</v>
      </c>
      <c r="H19" s="46">
        <f>'Income Statement'!H23/'Balance Sheet'!H28</f>
        <v>0.27942499531229859</v>
      </c>
      <c r="I19" s="46">
        <f>'Income Statement'!I23/'Balance Sheet'!I28</f>
        <v>0.25768027743232241</v>
      </c>
      <c r="J19" s="46">
        <f>'Income Statement'!J23/'Balance Sheet'!J28</f>
        <v>0.23176370562394857</v>
      </c>
      <c r="K19" s="46">
        <f>'Income Statement'!K23/'Balance Sheet'!K28</f>
        <v>0.19924255517527298</v>
      </c>
      <c r="L19" s="46">
        <f>'Income Statement'!L23/'Balance Sheet'!L28</f>
        <v>0.16563377879612526</v>
      </c>
    </row>
    <row r="20" spans="1:12" x14ac:dyDescent="0.3">
      <c r="B20" s="13" t="s">
        <v>181</v>
      </c>
      <c r="C20" s="46">
        <f>'Income Statement'!C23/'Balance Sheet'!C52</f>
        <v>0.42794336976604413</v>
      </c>
      <c r="D20" s="46">
        <f>'Income Statement'!D23/'Balance Sheet'!D52</f>
        <v>0.46381816985724622</v>
      </c>
      <c r="E20" s="46">
        <f>'Income Statement'!E23/'Balance Sheet'!E52</f>
        <v>0.50481279908890808</v>
      </c>
      <c r="F20" s="46">
        <f>'Income Statement'!F23/'Balance Sheet'!F52</f>
        <v>0.50951749485752473</v>
      </c>
      <c r="G20" s="46">
        <f>'Income Statement'!G23/'Balance Sheet'!G52</f>
        <v>0.45588967348218074</v>
      </c>
      <c r="H20" s="46">
        <f>'Income Statement'!H23/'Balance Sheet'!H52</f>
        <v>0.44512759333436724</v>
      </c>
      <c r="I20" s="46">
        <f>'Income Statement'!I23/'Balance Sheet'!I52</f>
        <v>0.39661869632462415</v>
      </c>
      <c r="J20" s="46">
        <f>'Income Statement'!J23/'Balance Sheet'!J52</f>
        <v>0.34694370425252824</v>
      </c>
      <c r="K20" s="46">
        <f>'Income Statement'!K23/'Balance Sheet'!K52</f>
        <v>0.29181627214278955</v>
      </c>
      <c r="L20" s="46">
        <f>'Income Statement'!L23/'Balance Sheet'!L52</f>
        <v>0.23854953216033339</v>
      </c>
    </row>
    <row r="21" spans="1:12" x14ac:dyDescent="0.3">
      <c r="A21" s="42"/>
      <c r="B21" s="43" t="s">
        <v>182</v>
      </c>
      <c r="C21" s="47">
        <f>'Income Statement'!C11/('Balance Sheet'!C28-'Balance Sheet'!C38)</f>
        <v>0.48861974728477353</v>
      </c>
      <c r="D21" s="47">
        <f>'Income Statement'!D11/('Balance Sheet'!D28-'Balance Sheet'!D38)</f>
        <v>0.54186606455995923</v>
      </c>
      <c r="E21" s="47">
        <f>'Income Statement'!E11/('Balance Sheet'!E28-'Balance Sheet'!E38)</f>
        <v>0.59107080572026505</v>
      </c>
      <c r="F21" s="47">
        <f>'Income Statement'!F11/('Balance Sheet'!F28-'Balance Sheet'!F38)</f>
        <v>0.58300821547811077</v>
      </c>
      <c r="G21" s="47">
        <f>'Income Statement'!G11/('Balance Sheet'!G28-'Balance Sheet'!G38)</f>
        <v>0.55029722208500054</v>
      </c>
      <c r="H21" s="47">
        <f>'Income Statement'!H11/('Balance Sheet'!H28-'Balance Sheet'!H38)</f>
        <v>0.50590649581603653</v>
      </c>
      <c r="I21" s="47">
        <f>'Income Statement'!I11/('Balance Sheet'!I28-'Balance Sheet'!I38)</f>
        <v>0.45493892814681614</v>
      </c>
      <c r="J21" s="47">
        <f>'Income Statement'!J11/('Balance Sheet'!J28-'Balance Sheet'!J38)</f>
        <v>0.40015971842560627</v>
      </c>
      <c r="K21" s="47">
        <f>'Income Statement'!K11/('Balance Sheet'!K28-'Balance Sheet'!K38)</f>
        <v>0.33676895869235418</v>
      </c>
      <c r="L21" s="47">
        <f>'Income Statement'!L11/('Balance Sheet'!L28-'Balance Sheet'!L38)</f>
        <v>0.27413589834793822</v>
      </c>
    </row>
    <row r="22" spans="1:12" x14ac:dyDescent="0.3">
      <c r="B22" s="2" t="s">
        <v>187</v>
      </c>
    </row>
    <row r="23" spans="1:12" x14ac:dyDescent="0.3">
      <c r="B23" s="13" t="s">
        <v>188</v>
      </c>
      <c r="C23" s="45">
        <f>C18</f>
        <v>0.20051211448001086</v>
      </c>
      <c r="D23" s="45">
        <f t="shared" ref="D23:L23" si="0">D18</f>
        <v>0.18763139919630265</v>
      </c>
      <c r="E23" s="45">
        <f t="shared" si="0"/>
        <v>0.19136712150207769</v>
      </c>
      <c r="F23" s="45">
        <f t="shared" si="0"/>
        <v>0.19111795209224358</v>
      </c>
      <c r="G23" s="45">
        <f t="shared" si="0"/>
        <v>0.18520640698671639</v>
      </c>
      <c r="H23" s="45">
        <f t="shared" si="0"/>
        <v>0.19198542034623048</v>
      </c>
      <c r="I23" s="45">
        <f t="shared" si="0"/>
        <v>0.18025217887807143</v>
      </c>
      <c r="J23" s="45">
        <f t="shared" si="0"/>
        <v>0.16486098083830225</v>
      </c>
      <c r="K23" s="45">
        <f t="shared" si="0"/>
        <v>0.14404930355300588</v>
      </c>
      <c r="L23" s="45">
        <f t="shared" si="0"/>
        <v>0.12072589411940061</v>
      </c>
    </row>
    <row r="24" spans="1:12" x14ac:dyDescent="0.3">
      <c r="B24" s="13" t="s">
        <v>178</v>
      </c>
      <c r="C24" s="45">
        <f>C14</f>
        <v>1.3550178780898003</v>
      </c>
      <c r="D24" s="45">
        <f t="shared" ref="D24:L24" si="1">D14</f>
        <v>1.5694843753263117</v>
      </c>
      <c r="E24" s="45">
        <f t="shared" si="1"/>
        <v>1.6448934441341354</v>
      </c>
      <c r="F24" s="45">
        <f t="shared" si="1"/>
        <v>1.5994838030683647</v>
      </c>
      <c r="G24" s="45">
        <f t="shared" si="1"/>
        <v>1.4641556817932577</v>
      </c>
      <c r="H24" s="45">
        <f t="shared" si="1"/>
        <v>1.4554490377882747</v>
      </c>
      <c r="I24" s="45">
        <f t="shared" si="1"/>
        <v>1.4295543001820019</v>
      </c>
      <c r="J24" s="45">
        <f t="shared" si="1"/>
        <v>1.4058129731210647</v>
      </c>
      <c r="K24" s="45">
        <f t="shared" si="1"/>
        <v>1.3831552826769316</v>
      </c>
      <c r="L24" s="45">
        <f t="shared" si="1"/>
        <v>1.3719822081608253</v>
      </c>
    </row>
    <row r="25" spans="1:12" x14ac:dyDescent="0.3">
      <c r="B25" s="13" t="s">
        <v>189</v>
      </c>
      <c r="C25" s="45">
        <f>'Balance Sheet'!C28/'Balance Sheet'!C52</f>
        <v>1.5750729025220933</v>
      </c>
      <c r="D25" s="45">
        <f>'Balance Sheet'!D28/'Balance Sheet'!D52</f>
        <v>1.5750169944959762</v>
      </c>
      <c r="E25" s="45">
        <f>'Balance Sheet'!E28/'Balance Sheet'!E52</f>
        <v>1.6037078811638323</v>
      </c>
      <c r="F25" s="45">
        <f>'Balance Sheet'!F28/'Balance Sheet'!F52</f>
        <v>1.6667780434578316</v>
      </c>
      <c r="G25" s="45">
        <f>'Balance Sheet'!G28/'Balance Sheet'!G52</f>
        <v>1.6811888124781063</v>
      </c>
      <c r="H25" s="45">
        <f>'Balance Sheet'!H28/'Balance Sheet'!H52</f>
        <v>1.5930127970007537</v>
      </c>
      <c r="I25" s="45">
        <f>'Balance Sheet'!I28/'Balance Sheet'!I52</f>
        <v>1.5391891854385042</v>
      </c>
      <c r="J25" s="45">
        <f>'Balance Sheet'!J28/'Balance Sheet'!J52</f>
        <v>1.496971682078067</v>
      </c>
      <c r="K25" s="45">
        <f>'Balance Sheet'!K28/'Balance Sheet'!K52</f>
        <v>1.4646282361018699</v>
      </c>
      <c r="L25" s="45">
        <f>'Balance Sheet'!L28/'Balance Sheet'!L52</f>
        <v>1.4402227244598365</v>
      </c>
    </row>
    <row r="26" spans="1:12" x14ac:dyDescent="0.3">
      <c r="A26" s="48"/>
      <c r="B26" s="48" t="s">
        <v>190</v>
      </c>
      <c r="C26" s="49">
        <f>C23*C24*C25</f>
        <v>0.42794336976604413</v>
      </c>
      <c r="D26" s="49">
        <f t="shared" ref="D26:L26" si="2">D23*D24*D25</f>
        <v>0.46381816985724628</v>
      </c>
      <c r="E26" s="49">
        <f t="shared" si="2"/>
        <v>0.50481279908890819</v>
      </c>
      <c r="F26" s="49">
        <f t="shared" si="2"/>
        <v>0.50951749485752462</v>
      </c>
      <c r="G26" s="49">
        <f t="shared" si="2"/>
        <v>0.45588967348218068</v>
      </c>
      <c r="H26" s="49">
        <f t="shared" si="2"/>
        <v>0.44512759333436724</v>
      </c>
      <c r="I26" s="49">
        <f t="shared" si="2"/>
        <v>0.3966186963246241</v>
      </c>
      <c r="J26" s="49">
        <f t="shared" si="2"/>
        <v>0.34694370425252824</v>
      </c>
      <c r="K26" s="49">
        <f t="shared" si="2"/>
        <v>0.29181627214278955</v>
      </c>
      <c r="L26" s="49">
        <f t="shared" si="2"/>
        <v>0.23854953216033342</v>
      </c>
    </row>
  </sheetData>
  <mergeCells count="2">
    <mergeCell ref="C1:G1"/>
    <mergeCell ref="H1:L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DFA7-B2CE-40D8-8E9F-A336213C5654}">
  <dimension ref="A1:L19"/>
  <sheetViews>
    <sheetView showGridLines="0" workbookViewId="0">
      <selection activeCell="H21" sqref="H21"/>
    </sheetView>
  </sheetViews>
  <sheetFormatPr defaultRowHeight="14.4" x14ac:dyDescent="0.3"/>
  <cols>
    <col min="1" max="1" width="3.109375" customWidth="1"/>
    <col min="2" max="2" width="49.44140625" customWidth="1"/>
    <col min="3" max="7" width="9.21875" style="32" customWidth="1"/>
    <col min="8" max="8" width="11.33203125" style="32" bestFit="1" customWidth="1"/>
    <col min="9" max="12" width="9.21875" style="32" customWidth="1"/>
    <col min="13" max="16384" width="8.88671875" style="11"/>
  </cols>
  <sheetData>
    <row r="1" spans="2:12" ht="20.399999999999999" thickBot="1" x14ac:dyDescent="0.45">
      <c r="B1" s="8" t="s">
        <v>0</v>
      </c>
      <c r="C1" s="239" t="s">
        <v>16</v>
      </c>
      <c r="D1" s="239"/>
      <c r="E1" s="239"/>
      <c r="F1" s="239"/>
      <c r="G1" s="239"/>
      <c r="H1" s="240" t="s">
        <v>17</v>
      </c>
      <c r="I1" s="240"/>
      <c r="J1" s="240"/>
      <c r="K1" s="240"/>
      <c r="L1" s="240"/>
    </row>
    <row r="2" spans="2:12" x14ac:dyDescent="0.3">
      <c r="B2" s="18" t="s">
        <v>27</v>
      </c>
      <c r="C2" s="31" t="s">
        <v>18</v>
      </c>
      <c r="D2" s="31" t="s">
        <v>28</v>
      </c>
      <c r="E2" s="31" t="s">
        <v>19</v>
      </c>
      <c r="F2" s="31" t="s">
        <v>20</v>
      </c>
      <c r="G2" s="31" t="s">
        <v>21</v>
      </c>
      <c r="H2" s="31" t="s">
        <v>22</v>
      </c>
      <c r="I2" s="31" t="s">
        <v>23</v>
      </c>
      <c r="J2" s="31" t="s">
        <v>24</v>
      </c>
      <c r="K2" s="31" t="s">
        <v>25</v>
      </c>
      <c r="L2" s="31" t="s">
        <v>26</v>
      </c>
    </row>
    <row r="3" spans="2:12" x14ac:dyDescent="0.3">
      <c r="B3" s="2" t="s">
        <v>203</v>
      </c>
    </row>
    <row r="4" spans="2:12" x14ac:dyDescent="0.3">
      <c r="B4" s="13" t="s">
        <v>204</v>
      </c>
      <c r="C4" s="37">
        <v>75126</v>
      </c>
      <c r="D4" s="37">
        <v>86127</v>
      </c>
      <c r="E4" s="37">
        <v>90928</v>
      </c>
      <c r="F4" s="37">
        <v>94597</v>
      </c>
      <c r="G4" s="37">
        <v>103363</v>
      </c>
      <c r="H4" s="37">
        <f t="shared" ref="H4:L9" si="0">G4*(1+H13)</f>
        <v>111115.22499999999</v>
      </c>
      <c r="I4" s="37">
        <f t="shared" si="0"/>
        <v>117782.1385</v>
      </c>
      <c r="J4" s="37">
        <f t="shared" si="0"/>
        <v>123671.245425</v>
      </c>
      <c r="K4" s="37">
        <f t="shared" si="0"/>
        <v>127381.38278775</v>
      </c>
      <c r="L4" s="37">
        <f t="shared" si="0"/>
        <v>131202.8242713825</v>
      </c>
    </row>
    <row r="5" spans="2:12" x14ac:dyDescent="0.3">
      <c r="B5" s="13" t="s">
        <v>205</v>
      </c>
      <c r="C5" s="37">
        <v>18610</v>
      </c>
      <c r="D5" s="37">
        <v>21236</v>
      </c>
      <c r="E5" s="37">
        <v>23491</v>
      </c>
      <c r="F5" s="37">
        <v>25170</v>
      </c>
      <c r="G5" s="37">
        <v>26614</v>
      </c>
      <c r="H5" s="37">
        <f t="shared" si="0"/>
        <v>28743.120000000003</v>
      </c>
      <c r="I5" s="37">
        <f t="shared" si="0"/>
        <v>31042.569600000006</v>
      </c>
      <c r="J5" s="37">
        <f t="shared" si="0"/>
        <v>32905.123776000008</v>
      </c>
      <c r="K5" s="37">
        <f t="shared" si="0"/>
        <v>34879.431202560008</v>
      </c>
      <c r="L5" s="37">
        <f t="shared" si="0"/>
        <v>36972.197074713607</v>
      </c>
    </row>
    <row r="6" spans="2:12" x14ac:dyDescent="0.3">
      <c r="B6" s="13" t="s">
        <v>206</v>
      </c>
      <c r="C6" s="37">
        <v>30715</v>
      </c>
      <c r="D6" s="37">
        <v>37506</v>
      </c>
      <c r="E6" s="37">
        <v>39357</v>
      </c>
      <c r="F6" s="37">
        <v>40197</v>
      </c>
      <c r="G6" s="37">
        <v>42432</v>
      </c>
      <c r="H6" s="37">
        <f t="shared" si="0"/>
        <v>43704.959999999999</v>
      </c>
      <c r="I6" s="37">
        <f t="shared" si="0"/>
        <v>45016.108800000002</v>
      </c>
      <c r="J6" s="37">
        <f t="shared" si="0"/>
        <v>46366.592064000004</v>
      </c>
      <c r="K6" s="37">
        <f t="shared" si="0"/>
        <v>47757.589825920004</v>
      </c>
      <c r="L6" s="37">
        <f t="shared" si="0"/>
        <v>49190.317520697608</v>
      </c>
    </row>
    <row r="7" spans="2:12" x14ac:dyDescent="0.3">
      <c r="B7" s="13" t="s">
        <v>207</v>
      </c>
      <c r="C7" s="37">
        <v>31874</v>
      </c>
      <c r="D7" s="37">
        <v>37653</v>
      </c>
      <c r="E7" s="37">
        <v>39391</v>
      </c>
      <c r="F7" s="37">
        <v>45893</v>
      </c>
      <c r="G7" s="37">
        <v>39474</v>
      </c>
      <c r="H7" s="37">
        <f t="shared" si="0"/>
        <v>41447.700000000004</v>
      </c>
      <c r="I7" s="37">
        <f t="shared" si="0"/>
        <v>43520.085000000006</v>
      </c>
      <c r="J7" s="37">
        <f t="shared" si="0"/>
        <v>45696.089250000012</v>
      </c>
      <c r="K7" s="37">
        <f t="shared" si="0"/>
        <v>47980.893712500016</v>
      </c>
      <c r="L7" s="37">
        <f t="shared" si="0"/>
        <v>50379.938398125021</v>
      </c>
    </row>
    <row r="8" spans="2:12" x14ac:dyDescent="0.3">
      <c r="B8" s="13" t="s">
        <v>208</v>
      </c>
      <c r="C8" s="37">
        <v>20462</v>
      </c>
      <c r="D8" s="37">
        <v>24605</v>
      </c>
      <c r="E8" s="37">
        <v>26745</v>
      </c>
      <c r="F8" s="37">
        <v>26456</v>
      </c>
      <c r="G8" s="37">
        <v>27745</v>
      </c>
      <c r="H8" s="37">
        <f t="shared" si="0"/>
        <v>28299.9</v>
      </c>
      <c r="I8" s="37">
        <f t="shared" si="0"/>
        <v>28865.898000000001</v>
      </c>
      <c r="J8" s="37">
        <f t="shared" si="0"/>
        <v>29443.215960000001</v>
      </c>
      <c r="K8" s="37">
        <f t="shared" si="0"/>
        <v>30032.080279200003</v>
      </c>
      <c r="L8" s="37">
        <f t="shared" si="0"/>
        <v>30632.721884784005</v>
      </c>
    </row>
    <row r="9" spans="2:12" x14ac:dyDescent="0.3">
      <c r="B9" s="13" t="s">
        <v>209</v>
      </c>
      <c r="C9" s="37">
        <v>14967</v>
      </c>
      <c r="D9" s="37">
        <v>18331</v>
      </c>
      <c r="E9" s="37">
        <v>20981</v>
      </c>
      <c r="F9" s="37">
        <v>23011</v>
      </c>
      <c r="G9" s="37">
        <v>27393</v>
      </c>
      <c r="H9" s="37">
        <f t="shared" si="0"/>
        <v>30132.300000000003</v>
      </c>
      <c r="I9" s="37">
        <f t="shared" si="0"/>
        <v>32844.207000000002</v>
      </c>
      <c r="J9" s="37">
        <f t="shared" si="0"/>
        <v>35800.185630000007</v>
      </c>
      <c r="K9" s="37">
        <f t="shared" si="0"/>
        <v>39022.202336700007</v>
      </c>
      <c r="L9" s="37">
        <f t="shared" si="0"/>
        <v>42534.200547003013</v>
      </c>
    </row>
    <row r="10" spans="2:12" x14ac:dyDescent="0.3">
      <c r="B10" s="21" t="s">
        <v>210</v>
      </c>
      <c r="C10" s="35">
        <f>SUM(C4:C9)</f>
        <v>191754</v>
      </c>
      <c r="D10" s="35">
        <f t="shared" ref="D10:L10" si="1">SUM(D4:D9)</f>
        <v>225458</v>
      </c>
      <c r="E10" s="35">
        <f t="shared" si="1"/>
        <v>240893</v>
      </c>
      <c r="F10" s="35">
        <f t="shared" si="1"/>
        <v>255324</v>
      </c>
      <c r="G10" s="35">
        <f t="shared" si="1"/>
        <v>267021</v>
      </c>
      <c r="H10" s="91">
        <f t="shared" si="1"/>
        <v>283443.20500000002</v>
      </c>
      <c r="I10" s="91">
        <f t="shared" si="1"/>
        <v>299071.00690000004</v>
      </c>
      <c r="J10" s="91">
        <f t="shared" si="1"/>
        <v>313882.45210500009</v>
      </c>
      <c r="K10" s="91">
        <f t="shared" si="1"/>
        <v>327053.58014463005</v>
      </c>
      <c r="L10" s="91">
        <f t="shared" si="1"/>
        <v>340912.19969670573</v>
      </c>
    </row>
    <row r="11" spans="2:12" x14ac:dyDescent="0.3">
      <c r="B11" s="26" t="s">
        <v>211</v>
      </c>
      <c r="H11" s="37"/>
      <c r="I11" s="37"/>
      <c r="J11" s="37"/>
      <c r="K11" s="37"/>
      <c r="L11" s="37"/>
    </row>
    <row r="12" spans="2:12" x14ac:dyDescent="0.3">
      <c r="B12" s="2" t="s">
        <v>203</v>
      </c>
      <c r="H12" s="37"/>
      <c r="I12" s="37"/>
      <c r="J12" s="37"/>
      <c r="K12" s="37"/>
      <c r="L12" s="37"/>
    </row>
    <row r="13" spans="2:12" x14ac:dyDescent="0.3">
      <c r="B13" s="13" t="s">
        <v>204</v>
      </c>
      <c r="D13" s="46">
        <f t="shared" ref="D13:G18" si="2">D4/C4-1</f>
        <v>0.14643399089529585</v>
      </c>
      <c r="E13" s="46">
        <f t="shared" si="2"/>
        <v>5.5743262856015052E-2</v>
      </c>
      <c r="F13" s="46">
        <f t="shared" si="2"/>
        <v>4.0350607073728728E-2</v>
      </c>
      <c r="G13" s="46">
        <f t="shared" si="2"/>
        <v>9.2666786473143858E-2</v>
      </c>
      <c r="H13" s="92">
        <v>7.4999999999999997E-2</v>
      </c>
      <c r="I13" s="92">
        <v>0.06</v>
      </c>
      <c r="J13" s="92">
        <v>0.05</v>
      </c>
      <c r="K13" s="92">
        <v>0.03</v>
      </c>
      <c r="L13" s="92">
        <v>0.03</v>
      </c>
    </row>
    <row r="14" spans="2:12" x14ac:dyDescent="0.3">
      <c r="B14" s="13" t="s">
        <v>205</v>
      </c>
      <c r="D14" s="46">
        <f t="shared" si="2"/>
        <v>0.14110693175711986</v>
      </c>
      <c r="E14" s="46">
        <f t="shared" si="2"/>
        <v>0.10618760595215671</v>
      </c>
      <c r="F14" s="46">
        <f t="shared" si="2"/>
        <v>7.1474181601464348E-2</v>
      </c>
      <c r="G14" s="46">
        <f t="shared" si="2"/>
        <v>5.7369884783472491E-2</v>
      </c>
      <c r="H14" s="92">
        <v>0.08</v>
      </c>
      <c r="I14" s="92">
        <v>0.08</v>
      </c>
      <c r="J14" s="92">
        <v>0.06</v>
      </c>
      <c r="K14" s="92">
        <v>0.06</v>
      </c>
      <c r="L14" s="92">
        <v>0.06</v>
      </c>
    </row>
    <row r="15" spans="2:12" x14ac:dyDescent="0.3">
      <c r="B15" s="13" t="s">
        <v>206</v>
      </c>
      <c r="D15" s="46">
        <f t="shared" si="2"/>
        <v>0.22109718378642351</v>
      </c>
      <c r="E15" s="46">
        <f t="shared" si="2"/>
        <v>4.9352103663413915E-2</v>
      </c>
      <c r="F15" s="46">
        <f t="shared" si="2"/>
        <v>2.1343090174555934E-2</v>
      </c>
      <c r="G15" s="46">
        <f t="shared" si="2"/>
        <v>5.5601164265989933E-2</v>
      </c>
      <c r="H15" s="92">
        <v>0.03</v>
      </c>
      <c r="I15" s="92">
        <v>0.03</v>
      </c>
      <c r="J15" s="92">
        <v>0.03</v>
      </c>
      <c r="K15" s="92">
        <v>0.03</v>
      </c>
      <c r="L15" s="92">
        <v>0.03</v>
      </c>
    </row>
    <row r="16" spans="2:12" x14ac:dyDescent="0.3">
      <c r="B16" s="13" t="s">
        <v>207</v>
      </c>
      <c r="D16" s="46">
        <f t="shared" si="2"/>
        <v>0.18130764886741546</v>
      </c>
      <c r="E16" s="46">
        <f t="shared" si="2"/>
        <v>4.6158340636868189E-2</v>
      </c>
      <c r="F16" s="46">
        <f t="shared" si="2"/>
        <v>0.16506308547637794</v>
      </c>
      <c r="G16" s="46">
        <f t="shared" si="2"/>
        <v>-0.1398688253110496</v>
      </c>
      <c r="H16" s="92">
        <v>0.05</v>
      </c>
      <c r="I16" s="92">
        <v>0.05</v>
      </c>
      <c r="J16" s="92">
        <v>0.05</v>
      </c>
      <c r="K16" s="92">
        <v>0.05</v>
      </c>
      <c r="L16" s="92">
        <v>0.05</v>
      </c>
    </row>
    <row r="17" spans="2:12" x14ac:dyDescent="0.3">
      <c r="B17" s="13" t="s">
        <v>208</v>
      </c>
      <c r="D17" s="46">
        <f t="shared" si="2"/>
        <v>0.2024728765516568</v>
      </c>
      <c r="E17" s="46">
        <f t="shared" si="2"/>
        <v>8.6974192237350145E-2</v>
      </c>
      <c r="F17" s="46">
        <f t="shared" si="2"/>
        <v>-1.0805758085623451E-2</v>
      </c>
      <c r="G17" s="46">
        <f t="shared" si="2"/>
        <v>4.8722407015421743E-2</v>
      </c>
      <c r="H17" s="92">
        <v>0.02</v>
      </c>
      <c r="I17" s="92">
        <v>0.02</v>
      </c>
      <c r="J17" s="92">
        <v>0.02</v>
      </c>
      <c r="K17" s="92">
        <v>0.02</v>
      </c>
      <c r="L17" s="92">
        <v>0.02</v>
      </c>
    </row>
    <row r="18" spans="2:12" x14ac:dyDescent="0.3">
      <c r="B18" s="13" t="s">
        <v>209</v>
      </c>
      <c r="D18" s="46">
        <f t="shared" si="2"/>
        <v>0.22476114117725654</v>
      </c>
      <c r="E18" s="46">
        <f t="shared" si="2"/>
        <v>0.14456385358136492</v>
      </c>
      <c r="F18" s="46">
        <f t="shared" si="2"/>
        <v>9.675420618654984E-2</v>
      </c>
      <c r="G18" s="46">
        <f t="shared" si="2"/>
        <v>0.19043066359567162</v>
      </c>
      <c r="H18" s="92">
        <v>0.1</v>
      </c>
      <c r="I18" s="92">
        <v>0.09</v>
      </c>
      <c r="J18" s="92">
        <v>0.09</v>
      </c>
      <c r="K18" s="92">
        <v>0.09</v>
      </c>
      <c r="L18" s="92">
        <v>0.09</v>
      </c>
    </row>
    <row r="19" spans="2:12" x14ac:dyDescent="0.3">
      <c r="B19" s="23"/>
      <c r="H19" s="88"/>
      <c r="I19" s="88"/>
      <c r="J19" s="88"/>
      <c r="K19" s="88"/>
      <c r="L19" s="88"/>
    </row>
  </sheetData>
  <mergeCells count="2">
    <mergeCell ref="C1:G1"/>
    <mergeCell ref="H1:L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D3D2-BAF0-45AE-96EE-B9D86A4A83C6}">
  <dimension ref="A1:N14"/>
  <sheetViews>
    <sheetView showGridLines="0" workbookViewId="0">
      <selection activeCell="I19" sqref="I19"/>
    </sheetView>
  </sheetViews>
  <sheetFormatPr defaultRowHeight="14.4" x14ac:dyDescent="0.3"/>
  <cols>
    <col min="1" max="1" width="3.109375" customWidth="1"/>
    <col min="2" max="2" width="49.44140625" customWidth="1"/>
    <col min="3" max="12" width="11.5546875" bestFit="1" customWidth="1"/>
    <col min="13" max="16384" width="8.88671875" style="11"/>
  </cols>
  <sheetData>
    <row r="1" spans="2:14" ht="20.399999999999999" thickBot="1" x14ac:dyDescent="0.45">
      <c r="B1" s="8" t="s">
        <v>0</v>
      </c>
      <c r="C1" s="237" t="s">
        <v>16</v>
      </c>
      <c r="D1" s="237"/>
      <c r="E1" s="237"/>
      <c r="F1" s="237"/>
      <c r="G1" s="237"/>
      <c r="H1" s="238" t="s">
        <v>17</v>
      </c>
      <c r="I1" s="238"/>
      <c r="J1" s="238"/>
      <c r="K1" s="238"/>
      <c r="L1" s="238"/>
    </row>
    <row r="2" spans="2:14" x14ac:dyDescent="0.3">
      <c r="B2" s="18" t="s">
        <v>27</v>
      </c>
      <c r="C2" s="16" t="s">
        <v>18</v>
      </c>
      <c r="D2" s="16" t="s">
        <v>28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  <c r="L2" s="16" t="s">
        <v>26</v>
      </c>
    </row>
    <row r="3" spans="2:14" x14ac:dyDescent="0.3">
      <c r="B3" s="23" t="s">
        <v>219</v>
      </c>
      <c r="C3" s="98">
        <f>'Income Statement'!C3</f>
        <v>191754</v>
      </c>
      <c r="D3" s="98">
        <f>'Income Statement'!D3</f>
        <v>225458</v>
      </c>
      <c r="E3" s="98">
        <f>'Income Statement'!E3</f>
        <v>240893</v>
      </c>
      <c r="F3" s="98">
        <f>'Income Statement'!F3</f>
        <v>255324</v>
      </c>
      <c r="G3" s="98">
        <f>'Income Statement'!G3</f>
        <v>267021</v>
      </c>
      <c r="H3" s="98">
        <f>'Income Statement'!H3</f>
        <v>283443.20500000002</v>
      </c>
      <c r="I3" s="98">
        <f>'Income Statement'!I3</f>
        <v>299071.00690000004</v>
      </c>
      <c r="J3" s="98">
        <f>'Income Statement'!J3</f>
        <v>313882.45210500009</v>
      </c>
      <c r="K3" s="98">
        <f>'Income Statement'!K3</f>
        <v>327053.58014463005</v>
      </c>
      <c r="L3" s="98">
        <f>'Income Statement'!L3</f>
        <v>340912.19969670573</v>
      </c>
    </row>
    <row r="4" spans="2:14" x14ac:dyDescent="0.3"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2:14" x14ac:dyDescent="0.3">
      <c r="B5" s="2" t="s">
        <v>34</v>
      </c>
      <c r="C5" s="90">
        <f>-'Income Statement'!C4</f>
        <v>107554</v>
      </c>
      <c r="D5" s="90">
        <f>-'Income Statement'!D4</f>
        <v>127522</v>
      </c>
      <c r="E5" s="90">
        <f>-'Income Statement'!E4</f>
        <v>140131</v>
      </c>
      <c r="F5" s="90">
        <f>-'Income Statement'!F4</f>
        <v>145788</v>
      </c>
      <c r="G5" s="90">
        <f>-'Income Statement'!G4</f>
        <v>154994</v>
      </c>
      <c r="H5" s="95">
        <f>G5*(1+H6)</f>
        <v>164293.64000000001</v>
      </c>
      <c r="I5" s="95">
        <f t="shared" ref="I5:L5" si="0">H5*(1+I6)</f>
        <v>174151.25840000002</v>
      </c>
      <c r="J5" s="95">
        <f t="shared" si="0"/>
        <v>184600.33390400003</v>
      </c>
      <c r="K5" s="95">
        <f t="shared" si="0"/>
        <v>195676.35393824003</v>
      </c>
      <c r="L5" s="95">
        <f t="shared" si="0"/>
        <v>207416.93517453445</v>
      </c>
    </row>
    <row r="6" spans="2:14" x14ac:dyDescent="0.3">
      <c r="B6" t="s">
        <v>216</v>
      </c>
      <c r="C6" s="73">
        <v>0.05</v>
      </c>
      <c r="D6" s="73">
        <v>6.0999999999999999E-2</v>
      </c>
      <c r="E6" s="73">
        <v>0.06</v>
      </c>
      <c r="F6" s="73">
        <v>0.06</v>
      </c>
      <c r="G6" s="73">
        <v>0.06</v>
      </c>
      <c r="H6" s="77">
        <f>G6</f>
        <v>0.06</v>
      </c>
      <c r="I6" s="77">
        <f t="shared" ref="I6:L6" si="1">H6</f>
        <v>0.06</v>
      </c>
      <c r="J6" s="77">
        <f t="shared" si="1"/>
        <v>0.06</v>
      </c>
      <c r="K6" s="77">
        <f t="shared" si="1"/>
        <v>0.06</v>
      </c>
      <c r="L6" s="77">
        <f t="shared" si="1"/>
        <v>0.06</v>
      </c>
      <c r="N6" s="50"/>
    </row>
    <row r="7" spans="2:14" x14ac:dyDescent="0.3">
      <c r="B7" t="s">
        <v>217</v>
      </c>
      <c r="C7" s="32">
        <f t="shared" ref="C7" si="2">C5/C6</f>
        <v>2151080</v>
      </c>
      <c r="D7" s="32">
        <f>D5/D6</f>
        <v>2090524.5901639345</v>
      </c>
      <c r="E7" s="32">
        <f t="shared" ref="E7:F7" si="3">E5/E6</f>
        <v>2335516.666666667</v>
      </c>
      <c r="F7" s="32">
        <f t="shared" si="3"/>
        <v>2429800</v>
      </c>
      <c r="G7" s="32">
        <f t="shared" ref="G7:H7" si="4">G5/G6</f>
        <v>2583233.3333333335</v>
      </c>
      <c r="H7" s="32">
        <f t="shared" si="4"/>
        <v>2738227.3333333335</v>
      </c>
      <c r="I7" s="32">
        <f t="shared" ref="I7:J7" si="5">I5/I6</f>
        <v>2902520.9733333336</v>
      </c>
      <c r="J7" s="32">
        <f t="shared" si="5"/>
        <v>3076672.2317333338</v>
      </c>
      <c r="K7" s="32">
        <f t="shared" ref="K7:L7" si="6">K5/K6</f>
        <v>3261272.5656373342</v>
      </c>
      <c r="L7" s="32">
        <f t="shared" si="6"/>
        <v>3456948.9195755743</v>
      </c>
      <c r="N7" s="50"/>
    </row>
    <row r="8" spans="2:14" x14ac:dyDescent="0.3">
      <c r="C8" s="32"/>
      <c r="D8" s="32"/>
      <c r="E8" s="32"/>
      <c r="F8" s="32"/>
      <c r="G8" s="32"/>
      <c r="H8" s="32"/>
      <c r="I8" s="32"/>
      <c r="J8" s="32"/>
      <c r="K8" s="32"/>
      <c r="L8" s="32"/>
      <c r="N8" s="50"/>
    </row>
    <row r="9" spans="2:14" x14ac:dyDescent="0.3">
      <c r="B9" s="2" t="s">
        <v>35</v>
      </c>
      <c r="C9" s="90">
        <f>-'Income Statement'!C5</f>
        <v>1163</v>
      </c>
      <c r="D9" s="90">
        <f>-'Income Statement'!D5</f>
        <v>1881</v>
      </c>
      <c r="E9" s="90">
        <f>-'Income Statement'!E5</f>
        <v>3702</v>
      </c>
      <c r="F9" s="90">
        <f>-'Income Statement'!F5</f>
        <v>11648</v>
      </c>
      <c r="G9" s="90">
        <f>-'Income Statement'!G5</f>
        <v>4399</v>
      </c>
      <c r="H9" s="99">
        <f>G9*(1+H10)</f>
        <v>4486.9800000000005</v>
      </c>
      <c r="I9" s="99">
        <f t="shared" ref="I9:L9" si="7">H9*(1+I10)</f>
        <v>4576.7196000000004</v>
      </c>
      <c r="J9" s="99">
        <f t="shared" si="7"/>
        <v>4668.2539920000008</v>
      </c>
      <c r="K9" s="99">
        <f t="shared" si="7"/>
        <v>4761.6190718400012</v>
      </c>
      <c r="L9" s="99">
        <f t="shared" si="7"/>
        <v>4856.8514532768013</v>
      </c>
    </row>
    <row r="10" spans="2:14" x14ac:dyDescent="0.3">
      <c r="B10" t="s">
        <v>218</v>
      </c>
      <c r="C10" s="78">
        <f>C9/C3</f>
        <v>6.0650625280307064E-3</v>
      </c>
      <c r="D10" s="78">
        <f t="shared" ref="D10:G10" si="8">D9/D3</f>
        <v>8.3430173247345408E-3</v>
      </c>
      <c r="E10" s="78">
        <f t="shared" si="8"/>
        <v>1.5367818907149647E-2</v>
      </c>
      <c r="F10" s="78">
        <f t="shared" si="8"/>
        <v>4.5620466544468989E-2</v>
      </c>
      <c r="G10" s="78">
        <f t="shared" si="8"/>
        <v>1.6474359694555858E-2</v>
      </c>
      <c r="H10" s="85">
        <v>0.02</v>
      </c>
      <c r="I10" s="85">
        <v>0.02</v>
      </c>
      <c r="J10" s="85">
        <v>0.02</v>
      </c>
      <c r="K10" s="85">
        <v>0.02</v>
      </c>
      <c r="L10" s="85">
        <v>0.02</v>
      </c>
    </row>
    <row r="11" spans="2:14" x14ac:dyDescent="0.3">
      <c r="B11" s="21" t="s">
        <v>215</v>
      </c>
      <c r="C11" s="93">
        <f t="shared" ref="C11:G11" si="9">C5+C9</f>
        <v>108717</v>
      </c>
      <c r="D11" s="93">
        <f t="shared" si="9"/>
        <v>129403</v>
      </c>
      <c r="E11" s="93">
        <f t="shared" si="9"/>
        <v>143833</v>
      </c>
      <c r="F11" s="93">
        <f t="shared" si="9"/>
        <v>157436</v>
      </c>
      <c r="G11" s="93">
        <f t="shared" si="9"/>
        <v>159393</v>
      </c>
      <c r="H11" s="93">
        <f>H5+H9</f>
        <v>168780.62000000002</v>
      </c>
      <c r="I11" s="93">
        <f t="shared" ref="I11:L11" si="10">I5+I9</f>
        <v>178727.97800000003</v>
      </c>
      <c r="J11" s="93">
        <f t="shared" si="10"/>
        <v>189268.58789600004</v>
      </c>
      <c r="K11" s="93">
        <f t="shared" si="10"/>
        <v>200437.97301008002</v>
      </c>
      <c r="L11" s="93">
        <f t="shared" si="10"/>
        <v>212273.78662781123</v>
      </c>
    </row>
    <row r="12" spans="2:1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4" x14ac:dyDescent="0.3">
      <c r="B13" s="2" t="s">
        <v>37</v>
      </c>
      <c r="C13" s="90">
        <f>-'Income Statement'!C8</f>
        <v>29980</v>
      </c>
      <c r="D13" s="90">
        <f>-'Income Statement'!D8</f>
        <v>36796</v>
      </c>
      <c r="E13" s="90">
        <f>-'Income Statement'!E8</f>
        <v>32764</v>
      </c>
      <c r="F13" s="90">
        <f>-'Income Statement'!F8</f>
        <v>30481</v>
      </c>
      <c r="G13" s="90">
        <f>-'Income Statement'!G8</f>
        <v>35230</v>
      </c>
      <c r="H13" s="34">
        <f>G13*(1+H14)</f>
        <v>39986.050000000003</v>
      </c>
      <c r="I13" s="34">
        <f t="shared" ref="I13:L13" si="11">H13*(1+I14)</f>
        <v>45384.166750000004</v>
      </c>
      <c r="J13" s="34">
        <f t="shared" si="11"/>
        <v>51511.029261250005</v>
      </c>
      <c r="K13" s="34">
        <f t="shared" si="11"/>
        <v>58465.018211518756</v>
      </c>
      <c r="L13" s="34">
        <f t="shared" si="11"/>
        <v>66357.795670073785</v>
      </c>
    </row>
    <row r="14" spans="2:14" x14ac:dyDescent="0.3">
      <c r="B14" t="s">
        <v>218</v>
      </c>
      <c r="C14" s="78">
        <f>C13/C3</f>
        <v>0.15634615184037881</v>
      </c>
      <c r="D14" s="78">
        <f t="shared" ref="D14:G14" si="12">D13/D3</f>
        <v>0.16320556378571618</v>
      </c>
      <c r="E14" s="78">
        <f t="shared" si="12"/>
        <v>0.13601059391514075</v>
      </c>
      <c r="F14" s="78">
        <f t="shared" si="12"/>
        <v>0.11938164841534678</v>
      </c>
      <c r="G14" s="78">
        <f t="shared" si="12"/>
        <v>0.13193718846083266</v>
      </c>
      <c r="H14" s="85">
        <v>0.13500000000000001</v>
      </c>
      <c r="I14" s="85">
        <v>0.13500000000000001</v>
      </c>
      <c r="J14" s="85">
        <v>0.13500000000000001</v>
      </c>
      <c r="K14" s="85">
        <v>0.13500000000000001</v>
      </c>
      <c r="L14" s="85">
        <v>0.13500000000000001</v>
      </c>
    </row>
  </sheetData>
  <mergeCells count="2">
    <mergeCell ref="C1:G1"/>
    <mergeCell ref="H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F41D-C8F8-4511-BF70-8C74EBA10AEE}">
  <dimension ref="A1:L14"/>
  <sheetViews>
    <sheetView showGridLines="0" workbookViewId="0">
      <selection activeCell="E23" sqref="E23"/>
    </sheetView>
  </sheetViews>
  <sheetFormatPr defaultRowHeight="14.4" x14ac:dyDescent="0.3"/>
  <cols>
    <col min="1" max="1" width="3.109375" customWidth="1"/>
    <col min="2" max="2" width="49.44140625" customWidth="1"/>
    <col min="3" max="12" width="9.21875" customWidth="1"/>
    <col min="13" max="16384" width="8.88671875" style="11"/>
  </cols>
  <sheetData>
    <row r="1" spans="2:12" ht="20.399999999999999" thickBot="1" x14ac:dyDescent="0.45">
      <c r="B1" s="8" t="s">
        <v>0</v>
      </c>
      <c r="C1" s="237" t="s">
        <v>16</v>
      </c>
      <c r="D1" s="237"/>
      <c r="E1" s="237"/>
      <c r="F1" s="237"/>
      <c r="G1" s="237"/>
      <c r="H1" s="238" t="s">
        <v>17</v>
      </c>
      <c r="I1" s="238"/>
      <c r="J1" s="238"/>
      <c r="K1" s="238"/>
      <c r="L1" s="238"/>
    </row>
    <row r="2" spans="2:12" x14ac:dyDescent="0.3">
      <c r="B2" s="18" t="s">
        <v>27</v>
      </c>
      <c r="C2" s="16" t="s">
        <v>18</v>
      </c>
      <c r="D2" s="16" t="s">
        <v>28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  <c r="L2" s="16" t="s">
        <v>26</v>
      </c>
    </row>
    <row r="3" spans="2:12" x14ac:dyDescent="0.3">
      <c r="B3" t="s">
        <v>219</v>
      </c>
      <c r="C3" s="87">
        <f>'Income Statement'!C3</f>
        <v>191754</v>
      </c>
      <c r="D3" s="87">
        <f>'Income Statement'!D3</f>
        <v>225458</v>
      </c>
      <c r="E3" s="87">
        <f>'Income Statement'!E3</f>
        <v>240893</v>
      </c>
      <c r="F3" s="87">
        <f>'Income Statement'!F3</f>
        <v>255324</v>
      </c>
      <c r="G3" s="87">
        <f>'Income Statement'!G3</f>
        <v>267021</v>
      </c>
      <c r="H3" s="87">
        <f>'Income Statement'!H3</f>
        <v>283443.20500000002</v>
      </c>
      <c r="I3" s="87">
        <f>'Income Statement'!I3</f>
        <v>299071.00690000004</v>
      </c>
      <c r="J3" s="87">
        <f>'Income Statement'!J3</f>
        <v>313882.45210500009</v>
      </c>
      <c r="K3" s="87">
        <f>'Income Statement'!K3</f>
        <v>327053.58014463005</v>
      </c>
      <c r="L3" s="87">
        <f>'Income Statement'!L3</f>
        <v>340912.19969670573</v>
      </c>
    </row>
    <row r="4" spans="2:12" x14ac:dyDescent="0.3">
      <c r="B4" t="s">
        <v>221</v>
      </c>
      <c r="C4" s="87">
        <f>-'Income Statement'!C6</f>
        <v>108717</v>
      </c>
      <c r="D4" s="87">
        <f>-'Income Statement'!D6</f>
        <v>129403</v>
      </c>
      <c r="E4" s="87">
        <f>-'Income Statement'!E6</f>
        <v>143833</v>
      </c>
      <c r="F4" s="87">
        <f>-'Income Statement'!F6</f>
        <v>157436</v>
      </c>
      <c r="G4" s="87">
        <f>-'Income Statement'!G6</f>
        <v>159393</v>
      </c>
      <c r="H4" s="87">
        <f>-'Income Statement'!H6</f>
        <v>168780.62000000002</v>
      </c>
      <c r="I4" s="87">
        <f>-'Income Statement'!I6</f>
        <v>178727.97800000003</v>
      </c>
      <c r="J4" s="87">
        <f>-'Income Statement'!J6</f>
        <v>189268.58789600004</v>
      </c>
      <c r="K4" s="87">
        <f>-'Income Statement'!K6</f>
        <v>200437.97301008002</v>
      </c>
      <c r="L4" s="87">
        <f>-'Income Statement'!L6</f>
        <v>212273.78662781123</v>
      </c>
    </row>
    <row r="6" spans="2:12" x14ac:dyDescent="0.3">
      <c r="B6" t="s">
        <v>55</v>
      </c>
      <c r="C6" s="87">
        <f>'Balance Sheet'!C6</f>
        <v>41810</v>
      </c>
      <c r="D6" s="87">
        <f>'Balance Sheet'!D6</f>
        <v>49954</v>
      </c>
      <c r="E6" s="87">
        <f>'Balance Sheet'!E6</f>
        <v>53577</v>
      </c>
      <c r="F6" s="87">
        <f>'Balance Sheet'!F6</f>
        <v>59046</v>
      </c>
      <c r="G6" s="87">
        <f>'Balance Sheet'!G6</f>
        <v>67714</v>
      </c>
      <c r="H6" s="32">
        <f>(H3*H13)/365</f>
        <v>66007.321712328776</v>
      </c>
      <c r="I6" s="32">
        <f t="shared" ref="I6:L6" si="0">(I3*I13)/365</f>
        <v>69646.672839726045</v>
      </c>
      <c r="J6" s="32">
        <f t="shared" si="0"/>
        <v>73095.913503904128</v>
      </c>
      <c r="K6" s="32">
        <f t="shared" si="0"/>
        <v>76163.162499434402</v>
      </c>
      <c r="L6" s="32">
        <f t="shared" si="0"/>
        <v>79390.512258136951</v>
      </c>
    </row>
    <row r="7" spans="2:12" x14ac:dyDescent="0.3">
      <c r="B7" t="s">
        <v>220</v>
      </c>
      <c r="C7" s="87">
        <f>'Balance Sheet'!C31</f>
        <v>8045</v>
      </c>
      <c r="D7" s="87">
        <f>'Balance Sheet'!D31</f>
        <v>10515</v>
      </c>
      <c r="E7" s="87">
        <f>'Balance Sheet'!E31</f>
        <v>9981</v>
      </c>
      <c r="F7" s="87">
        <f>'Balance Sheet'!F31</f>
        <v>13909</v>
      </c>
      <c r="G7" s="87">
        <f>'Balance Sheet'!G31</f>
        <v>14808</v>
      </c>
      <c r="H7" s="32">
        <f>(H4*H14)/365</f>
        <v>13409.967068493152</v>
      </c>
      <c r="I7" s="32">
        <f t="shared" ref="I7:L7" si="1">(I4*I14)/365</f>
        <v>14200.305101369864</v>
      </c>
      <c r="J7" s="32">
        <f t="shared" si="1"/>
        <v>15037.778216394525</v>
      </c>
      <c r="K7" s="32">
        <f t="shared" si="1"/>
        <v>15925.208814499509</v>
      </c>
      <c r="L7" s="32">
        <f t="shared" si="1"/>
        <v>16865.588526593219</v>
      </c>
    </row>
    <row r="9" spans="2:12" x14ac:dyDescent="0.3">
      <c r="B9" s="42" t="s">
        <v>222</v>
      </c>
      <c r="C9" s="248">
        <f>C6-C7</f>
        <v>33765</v>
      </c>
      <c r="D9" s="248">
        <f t="shared" ref="D9:L9" si="2">D6-D7</f>
        <v>39439</v>
      </c>
      <c r="E9" s="248">
        <f t="shared" si="2"/>
        <v>43596</v>
      </c>
      <c r="F9" s="248">
        <f t="shared" si="2"/>
        <v>45137</v>
      </c>
      <c r="G9" s="248">
        <f t="shared" si="2"/>
        <v>52906</v>
      </c>
      <c r="H9" s="248">
        <f>H6-H7</f>
        <v>52597.354643835628</v>
      </c>
      <c r="I9" s="248">
        <f t="shared" si="2"/>
        <v>55446.367738356181</v>
      </c>
      <c r="J9" s="248">
        <f t="shared" si="2"/>
        <v>58058.135287509605</v>
      </c>
      <c r="K9" s="248">
        <f t="shared" si="2"/>
        <v>60237.953684934895</v>
      </c>
      <c r="L9" s="248">
        <f t="shared" si="2"/>
        <v>62524.923731543735</v>
      </c>
    </row>
    <row r="10" spans="2:12" x14ac:dyDescent="0.3">
      <c r="B10" t="s">
        <v>223</v>
      </c>
      <c r="D10" s="65">
        <f>C9-D9</f>
        <v>-5674</v>
      </c>
      <c r="E10" s="65">
        <f t="shared" ref="E10:L10" si="3">D9-E9</f>
        <v>-4157</v>
      </c>
      <c r="F10" s="65">
        <f t="shared" si="3"/>
        <v>-1541</v>
      </c>
      <c r="G10" s="65">
        <f t="shared" si="3"/>
        <v>-7769</v>
      </c>
      <c r="H10" s="65">
        <f t="shared" si="3"/>
        <v>308.64535616437206</v>
      </c>
      <c r="I10" s="65">
        <f t="shared" si="3"/>
        <v>-2849.0130945205528</v>
      </c>
      <c r="J10" s="65">
        <f t="shared" si="3"/>
        <v>-2611.7675491534246</v>
      </c>
      <c r="K10" s="65">
        <f t="shared" si="3"/>
        <v>-2179.8183974252897</v>
      </c>
      <c r="L10" s="65">
        <f t="shared" si="3"/>
        <v>-2286.9700466088398</v>
      </c>
    </row>
    <row r="12" spans="2:12" x14ac:dyDescent="0.3">
      <c r="B12" s="2" t="s">
        <v>224</v>
      </c>
    </row>
    <row r="13" spans="2:12" x14ac:dyDescent="0.3">
      <c r="B13" t="s">
        <v>225</v>
      </c>
      <c r="C13" s="30">
        <f>(C6/C3)*365</f>
        <v>79.584519749262071</v>
      </c>
      <c r="D13" s="30">
        <f t="shared" ref="D13:G13" si="4">(D6/D3)*365</f>
        <v>80.871869705222267</v>
      </c>
      <c r="E13" s="30">
        <f t="shared" si="4"/>
        <v>81.179631620678066</v>
      </c>
      <c r="F13" s="30">
        <f t="shared" si="4"/>
        <v>84.409573718099367</v>
      </c>
      <c r="G13" s="30">
        <f t="shared" si="4"/>
        <v>92.560547672280464</v>
      </c>
      <c r="H13" s="76">
        <v>85</v>
      </c>
      <c r="I13" s="76">
        <v>85</v>
      </c>
      <c r="J13" s="76">
        <v>85</v>
      </c>
      <c r="K13" s="76">
        <v>85</v>
      </c>
      <c r="L13" s="76">
        <v>85</v>
      </c>
    </row>
    <row r="14" spans="2:12" x14ac:dyDescent="0.3">
      <c r="B14" t="s">
        <v>226</v>
      </c>
      <c r="C14" s="30">
        <f>(C7/C4)*365</f>
        <v>27.009805274244137</v>
      </c>
      <c r="D14" s="30">
        <f t="shared" ref="D14:G14" si="5">(D7/D4)*365</f>
        <v>29.659088274614962</v>
      </c>
      <c r="E14" s="30">
        <f t="shared" si="5"/>
        <v>25.32843645060591</v>
      </c>
      <c r="F14" s="30">
        <f t="shared" si="5"/>
        <v>32.246658959831294</v>
      </c>
      <c r="G14" s="30">
        <f t="shared" si="5"/>
        <v>33.909393762586816</v>
      </c>
      <c r="H14" s="76">
        <v>29</v>
      </c>
      <c r="I14" s="76">
        <v>29</v>
      </c>
      <c r="J14" s="76">
        <v>29</v>
      </c>
      <c r="K14" s="76">
        <v>29</v>
      </c>
      <c r="L14" s="76">
        <v>29</v>
      </c>
    </row>
  </sheetData>
  <mergeCells count="2">
    <mergeCell ref="C1:G1"/>
    <mergeCell ref="H1:L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CFF1-0981-4F09-9B0E-197D56285091}">
  <dimension ref="A1:N104"/>
  <sheetViews>
    <sheetView showGridLines="0" zoomScaleNormal="100" workbookViewId="0"/>
  </sheetViews>
  <sheetFormatPr defaultRowHeight="14.4" x14ac:dyDescent="0.3"/>
  <cols>
    <col min="1" max="1" width="3.109375" customWidth="1"/>
    <col min="2" max="2" width="49.44140625" customWidth="1"/>
    <col min="3" max="12" width="9.21875" customWidth="1"/>
    <col min="13" max="16384" width="8.88671875" style="11"/>
  </cols>
  <sheetData>
    <row r="1" spans="1:12" ht="20.399999999999999" thickBot="1" x14ac:dyDescent="0.45">
      <c r="B1" s="8" t="s">
        <v>0</v>
      </c>
      <c r="C1" s="237" t="s">
        <v>16</v>
      </c>
      <c r="D1" s="237"/>
      <c r="E1" s="237"/>
      <c r="F1" s="237"/>
      <c r="G1" s="237"/>
      <c r="H1" s="238" t="s">
        <v>17</v>
      </c>
      <c r="I1" s="238"/>
      <c r="J1" s="238"/>
      <c r="K1" s="238"/>
      <c r="L1" s="238"/>
    </row>
    <row r="2" spans="1:12" x14ac:dyDescent="0.3">
      <c r="B2" s="18" t="s">
        <v>27</v>
      </c>
      <c r="C2" s="137" t="s">
        <v>18</v>
      </c>
      <c r="D2" s="137" t="s">
        <v>28</v>
      </c>
      <c r="E2" s="137" t="s">
        <v>19</v>
      </c>
      <c r="F2" s="137" t="s">
        <v>20</v>
      </c>
      <c r="G2" s="137" t="s">
        <v>21</v>
      </c>
      <c r="H2" s="137" t="s">
        <v>22</v>
      </c>
      <c r="I2" s="137" t="s">
        <v>23</v>
      </c>
      <c r="J2" s="137" t="s">
        <v>24</v>
      </c>
      <c r="K2" s="137" t="s">
        <v>25</v>
      </c>
      <c r="L2" s="137" t="s">
        <v>26</v>
      </c>
    </row>
    <row r="3" spans="1:12" x14ac:dyDescent="0.3">
      <c r="B3" t="s">
        <v>219</v>
      </c>
      <c r="C3" s="87">
        <f>'Income Statement'!C3</f>
        <v>191754</v>
      </c>
      <c r="D3" s="87">
        <f>'Income Statement'!D3</f>
        <v>225458</v>
      </c>
      <c r="E3" s="87">
        <f>'Income Statement'!E3</f>
        <v>240893</v>
      </c>
      <c r="F3" s="87">
        <f>'Income Statement'!F3</f>
        <v>255324</v>
      </c>
      <c r="G3" s="87">
        <f>'Income Statement'!G3</f>
        <v>267021</v>
      </c>
      <c r="H3" s="87">
        <f>'Income Statement'!H3</f>
        <v>283443.20500000002</v>
      </c>
      <c r="I3" s="87">
        <f>'Income Statement'!I3</f>
        <v>299071.00690000004</v>
      </c>
      <c r="J3" s="87">
        <f>'Income Statement'!J3</f>
        <v>313882.45210500009</v>
      </c>
      <c r="K3" s="87">
        <f>'Income Statement'!K3</f>
        <v>327053.58014463005</v>
      </c>
      <c r="L3" s="87">
        <f>'Income Statement'!L3</f>
        <v>340912.19969670573</v>
      </c>
    </row>
    <row r="4" spans="1:12" x14ac:dyDescent="0.3">
      <c r="B4" t="s">
        <v>227</v>
      </c>
      <c r="C4" s="87">
        <f>-SUM('Cash Flows '!C38:C40)</f>
        <v>2995</v>
      </c>
      <c r="D4" s="87">
        <f>-SUM('Cash Flows '!D38:D40)</f>
        <v>3100</v>
      </c>
      <c r="E4" s="87">
        <f>-SUM('Cash Flows '!E38:E40)</f>
        <v>2674</v>
      </c>
      <c r="F4" s="87">
        <f>-SUM('Cash Flows '!F38:F40)</f>
        <v>3937</v>
      </c>
      <c r="G4" s="87">
        <f>-SUM('Cash Flows '!G38:G40)</f>
        <v>4146</v>
      </c>
      <c r="H4" s="32">
        <f>H3*H5</f>
        <v>5668.8641000000007</v>
      </c>
      <c r="I4" s="32">
        <f t="shared" ref="I4:L4" si="0">I3*I5</f>
        <v>5981.4201380000004</v>
      </c>
      <c r="J4" s="32">
        <f t="shared" si="0"/>
        <v>6277.6490421000017</v>
      </c>
      <c r="K4" s="32">
        <f t="shared" si="0"/>
        <v>8176.3395036157517</v>
      </c>
      <c r="L4" s="32">
        <f t="shared" si="0"/>
        <v>8522.804992417643</v>
      </c>
    </row>
    <row r="5" spans="1:12" x14ac:dyDescent="0.3">
      <c r="B5" t="s">
        <v>218</v>
      </c>
      <c r="C5" s="78">
        <f>C4/C3</f>
        <v>1.5618970138823702E-2</v>
      </c>
      <c r="D5" s="78">
        <f t="shared" ref="D5:G5" si="1">D4/D3</f>
        <v>1.3749789317744326E-2</v>
      </c>
      <c r="E5" s="78">
        <f t="shared" si="1"/>
        <v>1.1100364062052446E-2</v>
      </c>
      <c r="F5" s="78">
        <f t="shared" si="1"/>
        <v>1.5419623693816484E-2</v>
      </c>
      <c r="G5" s="78">
        <f t="shared" si="1"/>
        <v>1.5526868673250418E-2</v>
      </c>
      <c r="H5" s="85">
        <v>0.02</v>
      </c>
      <c r="I5" s="85">
        <v>0.02</v>
      </c>
      <c r="J5" s="85">
        <v>0.02</v>
      </c>
      <c r="K5" s="85">
        <v>2.5000000000000001E-2</v>
      </c>
      <c r="L5" s="85">
        <v>2.5000000000000001E-2</v>
      </c>
    </row>
    <row r="6" spans="1:12" x14ac:dyDescent="0.3">
      <c r="B6" s="2"/>
    </row>
    <row r="7" spans="1:12" x14ac:dyDescent="0.3">
      <c r="B7" t="s">
        <v>228</v>
      </c>
      <c r="H7" s="32">
        <f t="shared" ref="H7:L7" si="2">G11</f>
        <v>11032</v>
      </c>
      <c r="I7" s="32">
        <f t="shared" si="2"/>
        <v>10438.194744123421</v>
      </c>
      <c r="J7" s="32">
        <f t="shared" si="2"/>
        <v>9200.9153044574523</v>
      </c>
      <c r="K7" s="32">
        <f t="shared" si="2"/>
        <v>7253.9883625415569</v>
      </c>
      <c r="L7" s="32">
        <f t="shared" si="2"/>
        <v>6020.1595396242974</v>
      </c>
    </row>
    <row r="8" spans="1:12" x14ac:dyDescent="0.3">
      <c r="B8" t="s">
        <v>229</v>
      </c>
      <c r="D8" s="94"/>
      <c r="H8" s="94">
        <f>H4</f>
        <v>5668.8641000000007</v>
      </c>
      <c r="I8" s="94">
        <f t="shared" ref="I8:L8" si="3">I4</f>
        <v>5981.4201380000004</v>
      </c>
      <c r="J8" s="94">
        <f t="shared" si="3"/>
        <v>6277.6490421000017</v>
      </c>
      <c r="K8" s="94">
        <f t="shared" si="3"/>
        <v>8176.3395036157517</v>
      </c>
      <c r="L8" s="94">
        <f t="shared" si="3"/>
        <v>8522.804992417643</v>
      </c>
    </row>
    <row r="9" spans="1:12" x14ac:dyDescent="0.3">
      <c r="B9" t="s">
        <v>230</v>
      </c>
      <c r="H9" s="124">
        <f>-H104</f>
        <v>-6262.6693558765783</v>
      </c>
      <c r="I9" s="124">
        <f t="shared" ref="I9:K9" si="4">-I104</f>
        <v>-7218.6995776659678</v>
      </c>
      <c r="J9" s="124">
        <f t="shared" si="4"/>
        <v>-8224.5759840158971</v>
      </c>
      <c r="K9" s="124">
        <f t="shared" si="4"/>
        <v>-9410.1683265330121</v>
      </c>
      <c r="L9" s="124">
        <f>-L104</f>
        <v>-11425.690637194803</v>
      </c>
    </row>
    <row r="10" spans="1:12" x14ac:dyDescent="0.3">
      <c r="B10" t="s">
        <v>231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s="42"/>
      <c r="B11" s="1" t="s">
        <v>232</v>
      </c>
      <c r="C11" s="1"/>
      <c r="D11" s="1"/>
      <c r="E11" s="1"/>
      <c r="F11" s="1"/>
      <c r="G11" s="121">
        <f>'Balance Sheet'!G15</f>
        <v>11032</v>
      </c>
      <c r="H11" s="122">
        <f>SUM(H7:H10)</f>
        <v>10438.194744123421</v>
      </c>
      <c r="I11" s="122">
        <f t="shared" ref="I11:L11" si="5">SUM(I7:I10)</f>
        <v>9200.9153044574523</v>
      </c>
      <c r="J11" s="122">
        <f t="shared" si="5"/>
        <v>7253.9883625415569</v>
      </c>
      <c r="K11" s="122">
        <f t="shared" si="5"/>
        <v>6020.1595396242974</v>
      </c>
      <c r="L11" s="122">
        <f t="shared" si="5"/>
        <v>3117.2738948471379</v>
      </c>
    </row>
    <row r="12" spans="1:12" x14ac:dyDescent="0.3">
      <c r="B12" s="2" t="s">
        <v>250</v>
      </c>
      <c r="C12" s="2" t="s">
        <v>233</v>
      </c>
      <c r="D12" s="2" t="s">
        <v>238</v>
      </c>
      <c r="E12" s="2" t="s">
        <v>234</v>
      </c>
      <c r="F12" s="2"/>
      <c r="G12" s="2"/>
      <c r="H12" s="2"/>
      <c r="I12" s="2"/>
      <c r="J12" s="2"/>
      <c r="K12" s="2"/>
      <c r="L12" s="2"/>
    </row>
    <row r="13" spans="1:12" x14ac:dyDescent="0.3">
      <c r="A13">
        <v>1</v>
      </c>
      <c r="B13" t="s">
        <v>235</v>
      </c>
      <c r="C13" s="32">
        <v>8752</v>
      </c>
      <c r="D13">
        <v>20</v>
      </c>
      <c r="E13" s="45">
        <f>C13/$C$21</f>
        <v>0.24777758903799332</v>
      </c>
    </row>
    <row r="14" spans="1:12" x14ac:dyDescent="0.3">
      <c r="A14">
        <v>2</v>
      </c>
      <c r="B14" t="s">
        <v>236</v>
      </c>
      <c r="C14" s="32">
        <v>2790</v>
      </c>
      <c r="D14">
        <v>15</v>
      </c>
      <c r="E14" s="45">
        <f t="shared" ref="E14:E19" si="6">C14/$C$21</f>
        <v>7.8987599796161032E-2</v>
      </c>
    </row>
    <row r="15" spans="1:12" x14ac:dyDescent="0.3">
      <c r="A15">
        <v>3</v>
      </c>
      <c r="B15" t="s">
        <v>237</v>
      </c>
      <c r="C15" s="32">
        <v>993</v>
      </c>
      <c r="D15">
        <v>10</v>
      </c>
      <c r="E15" s="45">
        <f t="shared" si="6"/>
        <v>2.8112790895192797E-2</v>
      </c>
    </row>
    <row r="16" spans="1:12" x14ac:dyDescent="0.3">
      <c r="A16">
        <v>4</v>
      </c>
      <c r="B16" t="s">
        <v>239</v>
      </c>
      <c r="C16" s="32">
        <v>14948</v>
      </c>
      <c r="D16">
        <v>4</v>
      </c>
      <c r="E16" s="45">
        <f t="shared" si="6"/>
        <v>0.42319234471434236</v>
      </c>
    </row>
    <row r="17" spans="1:14" x14ac:dyDescent="0.3">
      <c r="A17">
        <v>5</v>
      </c>
      <c r="B17" t="s">
        <v>240</v>
      </c>
      <c r="C17" s="32">
        <v>53</v>
      </c>
      <c r="D17">
        <v>4</v>
      </c>
      <c r="E17" s="45">
        <f t="shared" si="6"/>
        <v>1.5004812864503709E-3</v>
      </c>
    </row>
    <row r="18" spans="1:14" x14ac:dyDescent="0.3">
      <c r="A18">
        <v>6</v>
      </c>
      <c r="B18" t="s">
        <v>241</v>
      </c>
      <c r="C18" s="32">
        <v>3160</v>
      </c>
      <c r="D18">
        <v>5</v>
      </c>
      <c r="E18" s="45">
        <f t="shared" si="6"/>
        <v>8.9462657833644751E-2</v>
      </c>
      <c r="N18" s="50"/>
    </row>
    <row r="19" spans="1:14" x14ac:dyDescent="0.3">
      <c r="A19">
        <v>7</v>
      </c>
      <c r="B19" t="s">
        <v>242</v>
      </c>
      <c r="C19" s="32">
        <v>2329</v>
      </c>
      <c r="D19">
        <v>10</v>
      </c>
      <c r="E19" s="45">
        <f t="shared" si="6"/>
        <v>6.5936243700809694E-2</v>
      </c>
    </row>
    <row r="20" spans="1:14" x14ac:dyDescent="0.3">
      <c r="A20">
        <v>8</v>
      </c>
      <c r="B20" t="s">
        <v>243</v>
      </c>
      <c r="C20" s="32">
        <v>2297</v>
      </c>
      <c r="D20">
        <v>5</v>
      </c>
      <c r="E20" s="45">
        <f>C20/$C$21</f>
        <v>6.5030292735405698E-2</v>
      </c>
    </row>
    <row r="21" spans="1:14" x14ac:dyDescent="0.3">
      <c r="A21" s="42"/>
      <c r="B21" s="1" t="s">
        <v>251</v>
      </c>
      <c r="C21" s="33">
        <f>SUM(C13:C20)</f>
        <v>35322</v>
      </c>
      <c r="D21" s="1"/>
      <c r="E21" s="103">
        <f>SUM(E13:E20)</f>
        <v>1</v>
      </c>
      <c r="F21" s="1"/>
      <c r="G21" s="1"/>
      <c r="H21" s="1"/>
      <c r="I21" s="1"/>
      <c r="J21" s="1"/>
      <c r="K21" s="1"/>
      <c r="L21" s="1"/>
    </row>
    <row r="22" spans="1:14" x14ac:dyDescent="0.3">
      <c r="B22" s="2" t="s">
        <v>244</v>
      </c>
      <c r="C22" s="136" t="str">
        <f t="shared" ref="C22:L22" si="7">C2</f>
        <v>FY 2022</v>
      </c>
      <c r="D22" s="136" t="str">
        <f t="shared" si="7"/>
        <v>FY2023</v>
      </c>
      <c r="E22" s="136" t="str">
        <f t="shared" si="7"/>
        <v>FY 2024</v>
      </c>
      <c r="F22" s="136" t="str">
        <f t="shared" si="7"/>
        <v>FY 2025</v>
      </c>
      <c r="G22" s="136" t="str">
        <f t="shared" si="7"/>
        <v>FY 2026</v>
      </c>
      <c r="H22" s="136" t="str">
        <f t="shared" si="7"/>
        <v>FY 2027</v>
      </c>
      <c r="I22" s="136" t="str">
        <f t="shared" si="7"/>
        <v>FY 2028</v>
      </c>
      <c r="J22" s="136" t="str">
        <f t="shared" si="7"/>
        <v>FY 2029</v>
      </c>
      <c r="K22" s="136" t="str">
        <f t="shared" si="7"/>
        <v>FY 2030</v>
      </c>
      <c r="L22" s="136" t="str">
        <f t="shared" si="7"/>
        <v>FY 2031</v>
      </c>
    </row>
    <row r="23" spans="1:14" x14ac:dyDescent="0.3">
      <c r="B23" t="s">
        <v>235</v>
      </c>
      <c r="C23" s="32">
        <f t="shared" ref="C23:L23" si="8">C$4*$E13</f>
        <v>742.09387916878995</v>
      </c>
      <c r="D23" s="32">
        <f t="shared" si="8"/>
        <v>768.11052601777931</v>
      </c>
      <c r="E23" s="32">
        <f t="shared" si="8"/>
        <v>662.55727308759413</v>
      </c>
      <c r="F23" s="32">
        <f t="shared" si="8"/>
        <v>975.50036804257968</v>
      </c>
      <c r="G23" s="32">
        <f t="shared" si="8"/>
        <v>1027.2858841515203</v>
      </c>
      <c r="H23" s="32">
        <f t="shared" si="8"/>
        <v>1404.6174792820341</v>
      </c>
      <c r="I23" s="32">
        <f t="shared" si="8"/>
        <v>1482.0618608169414</v>
      </c>
      <c r="J23" s="32">
        <f t="shared" si="8"/>
        <v>1555.4607444782066</v>
      </c>
      <c r="K23" s="32">
        <f t="shared" si="8"/>
        <v>2025.9136893620141</v>
      </c>
      <c r="L23" s="32">
        <f t="shared" si="8"/>
        <v>2111.7600728622165</v>
      </c>
    </row>
    <row r="24" spans="1:14" x14ac:dyDescent="0.3">
      <c r="B24" t="s">
        <v>236</v>
      </c>
      <c r="C24" s="32">
        <f t="shared" ref="C24:L24" si="9">C$4*$E14</f>
        <v>236.5678613895023</v>
      </c>
      <c r="D24" s="32">
        <f t="shared" si="9"/>
        <v>244.86155936809919</v>
      </c>
      <c r="E24" s="32">
        <f t="shared" si="9"/>
        <v>211.2128418549346</v>
      </c>
      <c r="F24" s="32">
        <f t="shared" si="9"/>
        <v>310.97418039748601</v>
      </c>
      <c r="G24" s="32">
        <f t="shared" si="9"/>
        <v>327.48258875488364</v>
      </c>
      <c r="H24" s="32">
        <f t="shared" si="9"/>
        <v>447.76996882962464</v>
      </c>
      <c r="I24" s="32">
        <f t="shared" si="9"/>
        <v>472.45802007304235</v>
      </c>
      <c r="J24" s="32">
        <f t="shared" si="9"/>
        <v>495.85643019814859</v>
      </c>
      <c r="K24" s="32">
        <f t="shared" si="9"/>
        <v>645.82943250914298</v>
      </c>
      <c r="L24" s="32">
        <f t="shared" si="9"/>
        <v>673.19590988180801</v>
      </c>
    </row>
    <row r="25" spans="1:14" x14ac:dyDescent="0.3">
      <c r="B25" t="s">
        <v>237</v>
      </c>
      <c r="C25" s="32">
        <f t="shared" ref="C25:L25" si="10">C$4*$E15</f>
        <v>84.197808731102427</v>
      </c>
      <c r="D25" s="32">
        <f t="shared" si="10"/>
        <v>87.149651775097666</v>
      </c>
      <c r="E25" s="32">
        <f t="shared" si="10"/>
        <v>75.173602853745535</v>
      </c>
      <c r="F25" s="32">
        <f t="shared" si="10"/>
        <v>110.68005775437405</v>
      </c>
      <c r="G25" s="32">
        <f t="shared" si="10"/>
        <v>116.55563105146933</v>
      </c>
      <c r="H25" s="32">
        <f t="shared" si="10"/>
        <v>159.36759105656532</v>
      </c>
      <c r="I25" s="32">
        <f t="shared" si="10"/>
        <v>168.15441359588925</v>
      </c>
      <c r="J25" s="32">
        <f t="shared" si="10"/>
        <v>176.4822348339647</v>
      </c>
      <c r="K25" s="32">
        <f t="shared" si="10"/>
        <v>229.85972275325409</v>
      </c>
      <c r="L25" s="32">
        <f t="shared" si="10"/>
        <v>239.59983459234243</v>
      </c>
    </row>
    <row r="26" spans="1:14" x14ac:dyDescent="0.3">
      <c r="B26" t="s">
        <v>239</v>
      </c>
      <c r="C26" s="32">
        <f t="shared" ref="C26:L26" si="11">C$4*$E16</f>
        <v>1267.4610724194554</v>
      </c>
      <c r="D26" s="32">
        <f t="shared" si="11"/>
        <v>1311.8962686144614</v>
      </c>
      <c r="E26" s="32">
        <f t="shared" si="11"/>
        <v>1131.6163297661515</v>
      </c>
      <c r="F26" s="32">
        <f t="shared" si="11"/>
        <v>1666.1082611403658</v>
      </c>
      <c r="G26" s="32">
        <f t="shared" si="11"/>
        <v>1754.5554611856635</v>
      </c>
      <c r="H26" s="32">
        <f t="shared" si="11"/>
        <v>2399.0198903459604</v>
      </c>
      <c r="I26" s="32">
        <f t="shared" si="11"/>
        <v>2531.2912129218053</v>
      </c>
      <c r="J26" s="32">
        <f t="shared" si="11"/>
        <v>2656.6530174200452</v>
      </c>
      <c r="K26" s="32">
        <f t="shared" si="11"/>
        <v>3460.1642857156521</v>
      </c>
      <c r="L26" s="32">
        <f t="shared" si="11"/>
        <v>3606.7858282843254</v>
      </c>
    </row>
    <row r="27" spans="1:14" x14ac:dyDescent="0.3">
      <c r="B27" t="s">
        <v>240</v>
      </c>
      <c r="C27" s="32">
        <f t="shared" ref="C27:L27" si="12">C$4*$E17</f>
        <v>4.493941452918861</v>
      </c>
      <c r="D27" s="32">
        <f t="shared" si="12"/>
        <v>4.6514919879961498</v>
      </c>
      <c r="E27" s="32">
        <f t="shared" si="12"/>
        <v>4.012286959968292</v>
      </c>
      <c r="F27" s="32">
        <f t="shared" si="12"/>
        <v>5.9073948247551105</v>
      </c>
      <c r="G27" s="32">
        <f t="shared" si="12"/>
        <v>6.2209954136232382</v>
      </c>
      <c r="H27" s="32">
        <f t="shared" si="12"/>
        <v>8.5060244974803254</v>
      </c>
      <c r="I27" s="32">
        <f t="shared" si="12"/>
        <v>8.9750089834663953</v>
      </c>
      <c r="J27" s="32">
        <f t="shared" si="12"/>
        <v>9.4194949105741497</v>
      </c>
      <c r="K27" s="32">
        <f t="shared" si="12"/>
        <v>12.268444416840351</v>
      </c>
      <c r="L27" s="32">
        <f t="shared" si="12"/>
        <v>12.788309399188469</v>
      </c>
    </row>
    <row r="28" spans="1:14" x14ac:dyDescent="0.3">
      <c r="B28" t="s">
        <v>241</v>
      </c>
      <c r="C28" s="32">
        <f t="shared" ref="C28:L28" si="13">C$4*$E18</f>
        <v>267.94066021176604</v>
      </c>
      <c r="D28" s="32">
        <f t="shared" si="13"/>
        <v>277.33423928429875</v>
      </c>
      <c r="E28" s="32">
        <f t="shared" si="13"/>
        <v>239.22314704716607</v>
      </c>
      <c r="F28" s="32">
        <f t="shared" si="13"/>
        <v>352.21448389105939</v>
      </c>
      <c r="G28" s="32">
        <f t="shared" si="13"/>
        <v>370.91217937829111</v>
      </c>
      <c r="H28" s="32">
        <f t="shared" si="13"/>
        <v>507.15164928373258</v>
      </c>
      <c r="I28" s="32">
        <f t="shared" si="13"/>
        <v>535.11374316516617</v>
      </c>
      <c r="J28" s="32">
        <f t="shared" si="13"/>
        <v>561.61516825310014</v>
      </c>
      <c r="K28" s="32">
        <f t="shared" si="13"/>
        <v>731.47706334368877</v>
      </c>
      <c r="L28" s="32">
        <f t="shared" si="13"/>
        <v>762.4727868195389</v>
      </c>
    </row>
    <row r="29" spans="1:14" x14ac:dyDescent="0.3">
      <c r="B29" t="s">
        <v>242</v>
      </c>
      <c r="C29" s="32">
        <f t="shared" ref="C29:L29" si="14">C$4*$E19</f>
        <v>197.47904988392503</v>
      </c>
      <c r="D29" s="32">
        <f t="shared" si="14"/>
        <v>204.40235547251004</v>
      </c>
      <c r="E29" s="32">
        <f t="shared" si="14"/>
        <v>176.31351565596512</v>
      </c>
      <c r="F29" s="32">
        <f t="shared" si="14"/>
        <v>259.59099145008776</v>
      </c>
      <c r="G29" s="32">
        <f t="shared" si="14"/>
        <v>273.371666383557</v>
      </c>
      <c r="H29" s="32">
        <f t="shared" si="14"/>
        <v>373.78360480437124</v>
      </c>
      <c r="I29" s="32">
        <f t="shared" si="14"/>
        <v>394.39237589609877</v>
      </c>
      <c r="J29" s="32">
        <f t="shared" si="14"/>
        <v>413.92459710806025</v>
      </c>
      <c r="K29" s="32">
        <f t="shared" si="14"/>
        <v>539.11711409096552</v>
      </c>
      <c r="L29" s="32">
        <f t="shared" si="14"/>
        <v>561.96174699452718</v>
      </c>
    </row>
    <row r="30" spans="1:14" s="105" customFormat="1" x14ac:dyDescent="0.3">
      <c r="A30" s="42"/>
      <c r="B30" s="42" t="s">
        <v>243</v>
      </c>
      <c r="C30" s="104">
        <f t="shared" ref="C30:L30" si="15">C$4*$E20</f>
        <v>194.76572674254007</v>
      </c>
      <c r="D30" s="104">
        <f t="shared" si="15"/>
        <v>201.59390747975766</v>
      </c>
      <c r="E30" s="104">
        <f t="shared" si="15"/>
        <v>173.89100277447483</v>
      </c>
      <c r="F30" s="104">
        <f t="shared" si="15"/>
        <v>256.02426249929221</v>
      </c>
      <c r="G30" s="104">
        <f t="shared" si="15"/>
        <v>269.61559368099205</v>
      </c>
      <c r="H30" s="104">
        <f t="shared" si="15"/>
        <v>368.6478919002322</v>
      </c>
      <c r="I30" s="104">
        <f t="shared" si="15"/>
        <v>388.97350254759078</v>
      </c>
      <c r="J30" s="104">
        <f t="shared" si="15"/>
        <v>408.23735489790226</v>
      </c>
      <c r="K30" s="104">
        <f t="shared" si="15"/>
        <v>531.709751424194</v>
      </c>
      <c r="L30" s="104">
        <f t="shared" si="15"/>
        <v>554.24050358369652</v>
      </c>
    </row>
    <row r="31" spans="1:14" x14ac:dyDescent="0.3">
      <c r="A31" s="2" t="s">
        <v>245</v>
      </c>
      <c r="C31" s="48"/>
      <c r="D31" s="115"/>
      <c r="E31" s="48"/>
    </row>
    <row r="32" spans="1:14" x14ac:dyDescent="0.3">
      <c r="A32" s="2">
        <v>1</v>
      </c>
      <c r="B32" s="116" t="s">
        <v>235</v>
      </c>
      <c r="C32" s="107">
        <f>C13</f>
        <v>8752</v>
      </c>
      <c r="D32" s="106"/>
      <c r="E32" s="106"/>
      <c r="F32" s="106"/>
      <c r="G32" s="106"/>
      <c r="H32" s="106"/>
      <c r="I32" s="106"/>
      <c r="J32" s="106"/>
      <c r="K32" s="106"/>
      <c r="L32" s="106"/>
    </row>
    <row r="33" spans="1:12" x14ac:dyDescent="0.3">
      <c r="A33" s="2"/>
      <c r="B33" s="106" t="s">
        <v>246</v>
      </c>
      <c r="C33" s="106">
        <f>D13</f>
        <v>20</v>
      </c>
      <c r="D33" s="106"/>
      <c r="E33" s="106"/>
      <c r="F33" s="106"/>
      <c r="G33" s="106"/>
      <c r="H33" s="106">
        <f>$C$32/$C$33</f>
        <v>437.6</v>
      </c>
      <c r="I33" s="106">
        <f t="shared" ref="I33:L33" si="16">$C$32/$C$33</f>
        <v>437.6</v>
      </c>
      <c r="J33" s="106">
        <f t="shared" si="16"/>
        <v>437.6</v>
      </c>
      <c r="K33" s="106">
        <f t="shared" si="16"/>
        <v>437.6</v>
      </c>
      <c r="L33" s="106">
        <f t="shared" si="16"/>
        <v>437.6</v>
      </c>
    </row>
    <row r="34" spans="1:12" x14ac:dyDescent="0.3">
      <c r="A34" s="2"/>
      <c r="C34" s="112" t="s">
        <v>247</v>
      </c>
      <c r="D34" s="112" t="s">
        <v>248</v>
      </c>
      <c r="E34" s="112" t="s">
        <v>249</v>
      </c>
    </row>
    <row r="35" spans="1:12" x14ac:dyDescent="0.3">
      <c r="A35" s="2"/>
      <c r="C35" s="106" t="s">
        <v>22</v>
      </c>
      <c r="D35" s="107">
        <f t="array" ref="D35:D39">TRANSPOSE(H23:L23)</f>
        <v>1404.6174792820341</v>
      </c>
      <c r="E35" s="106">
        <f>$C$33</f>
        <v>20</v>
      </c>
      <c r="H35" s="109">
        <f>$D$35/$E$35/2</f>
        <v>35.115436982050852</v>
      </c>
      <c r="I35" s="109">
        <f>$D$35/$E$35</f>
        <v>70.230873964101704</v>
      </c>
      <c r="J35" s="109">
        <f t="shared" ref="J35:L35" si="17">$D$35/$E$35</f>
        <v>70.230873964101704</v>
      </c>
      <c r="K35" s="109">
        <f t="shared" si="17"/>
        <v>70.230873964101704</v>
      </c>
      <c r="L35" s="109">
        <f t="shared" si="17"/>
        <v>70.230873964101704</v>
      </c>
    </row>
    <row r="36" spans="1:12" x14ac:dyDescent="0.3">
      <c r="A36" s="2"/>
      <c r="C36" s="106" t="s">
        <v>23</v>
      </c>
      <c r="D36" s="107">
        <v>1482.0618608169414</v>
      </c>
      <c r="E36" s="106">
        <f t="shared" ref="E36:E39" si="18">$C$33</f>
        <v>20</v>
      </c>
      <c r="I36" s="109">
        <f>$D$36/$E$36/2</f>
        <v>37.051546520423535</v>
      </c>
      <c r="J36" s="109">
        <f>$D$36/$E$36</f>
        <v>74.103093040847071</v>
      </c>
      <c r="K36" s="109">
        <f t="shared" ref="K36:L36" si="19">$D$36/$E$36</f>
        <v>74.103093040847071</v>
      </c>
      <c r="L36" s="109">
        <f t="shared" si="19"/>
        <v>74.103093040847071</v>
      </c>
    </row>
    <row r="37" spans="1:12" x14ac:dyDescent="0.3">
      <c r="A37" s="2"/>
      <c r="C37" s="106" t="s">
        <v>24</v>
      </c>
      <c r="D37" s="107">
        <v>1555.4607444782066</v>
      </c>
      <c r="E37" s="106">
        <f t="shared" si="18"/>
        <v>20</v>
      </c>
      <c r="J37" s="109">
        <f>$D$37/$E$37/2</f>
        <v>38.886518611955168</v>
      </c>
      <c r="K37" s="109">
        <f>$D$37/$E$37</f>
        <v>77.773037223910336</v>
      </c>
      <c r="L37" s="109">
        <f t="shared" ref="L37" si="20">$D$37/$E$37</f>
        <v>77.773037223910336</v>
      </c>
    </row>
    <row r="38" spans="1:12" x14ac:dyDescent="0.3">
      <c r="A38" s="2"/>
      <c r="C38" s="106" t="s">
        <v>25</v>
      </c>
      <c r="D38" s="107">
        <v>2025.9136893620141</v>
      </c>
      <c r="E38" s="106">
        <f t="shared" si="18"/>
        <v>20</v>
      </c>
      <c r="K38" s="109">
        <f>$D$38/$E$38/2</f>
        <v>50.647842234050351</v>
      </c>
      <c r="L38" s="109">
        <f>$D$38/$E$38</f>
        <v>101.2956844681007</v>
      </c>
    </row>
    <row r="39" spans="1:12" s="105" customFormat="1" x14ac:dyDescent="0.3">
      <c r="A39" s="1"/>
      <c r="B39" s="42"/>
      <c r="C39" s="106" t="s">
        <v>26</v>
      </c>
      <c r="D39" s="107">
        <v>2111.7600728622165</v>
      </c>
      <c r="E39" s="106">
        <f t="shared" si="18"/>
        <v>20</v>
      </c>
      <c r="F39" s="42"/>
      <c r="G39" s="42"/>
      <c r="H39" s="42"/>
      <c r="I39" s="42"/>
      <c r="J39" s="42"/>
      <c r="K39" s="42"/>
      <c r="L39" s="110">
        <f>$D$39/$E$39/2</f>
        <v>52.794001821555412</v>
      </c>
    </row>
    <row r="40" spans="1:12" s="105" customFormat="1" x14ac:dyDescent="0.3">
      <c r="A40" s="21"/>
      <c r="B40" s="21" t="s">
        <v>252</v>
      </c>
      <c r="C40" s="21"/>
      <c r="D40" s="93"/>
      <c r="E40" s="21"/>
      <c r="F40" s="21"/>
      <c r="G40" s="21"/>
      <c r="H40" s="118">
        <f>SUM(H33:H39)</f>
        <v>472.71543698205085</v>
      </c>
      <c r="I40" s="118">
        <f t="shared" ref="I40:L40" si="21">SUM(I33:I39)</f>
        <v>544.88242048452526</v>
      </c>
      <c r="J40" s="118">
        <f t="shared" si="21"/>
        <v>620.82048561690397</v>
      </c>
      <c r="K40" s="118">
        <f t="shared" si="21"/>
        <v>710.35484646290956</v>
      </c>
      <c r="L40" s="118">
        <f t="shared" si="21"/>
        <v>813.79669051851533</v>
      </c>
    </row>
    <row r="41" spans="1:12" x14ac:dyDescent="0.3">
      <c r="A41" s="2">
        <v>2</v>
      </c>
      <c r="B41" s="116" t="s">
        <v>236</v>
      </c>
      <c r="C41" s="107">
        <f>C14</f>
        <v>2790</v>
      </c>
      <c r="D41" s="106"/>
      <c r="E41" s="106"/>
      <c r="F41" s="106"/>
      <c r="G41" s="106"/>
      <c r="H41" s="106"/>
      <c r="I41" s="106"/>
      <c r="J41" s="106"/>
      <c r="K41" s="106"/>
      <c r="L41" s="106"/>
    </row>
    <row r="42" spans="1:12" x14ac:dyDescent="0.3">
      <c r="A42" s="2"/>
      <c r="B42" s="106" t="s">
        <v>246</v>
      </c>
      <c r="C42" s="106">
        <f>D14</f>
        <v>15</v>
      </c>
      <c r="D42" s="106"/>
      <c r="E42" s="106"/>
      <c r="F42" s="106"/>
      <c r="G42" s="106"/>
      <c r="H42" s="107">
        <f>$C$41/$C$42</f>
        <v>186</v>
      </c>
      <c r="I42" s="107">
        <f t="shared" ref="I42:L42" si="22">$C$41/$C$42</f>
        <v>186</v>
      </c>
      <c r="J42" s="107">
        <f t="shared" si="22"/>
        <v>186</v>
      </c>
      <c r="K42" s="107">
        <f t="shared" si="22"/>
        <v>186</v>
      </c>
      <c r="L42" s="107">
        <f t="shared" si="22"/>
        <v>186</v>
      </c>
    </row>
    <row r="43" spans="1:12" x14ac:dyDescent="0.3">
      <c r="A43" s="2"/>
      <c r="C43" s="112" t="s">
        <v>247</v>
      </c>
      <c r="D43" s="112" t="s">
        <v>248</v>
      </c>
      <c r="E43" s="112" t="s">
        <v>249</v>
      </c>
    </row>
    <row r="44" spans="1:12" x14ac:dyDescent="0.3">
      <c r="A44" s="2"/>
      <c r="C44" s="106" t="s">
        <v>22</v>
      </c>
      <c r="D44" s="108">
        <f t="array" ref="D44:D48">TRANSPOSE(H24:L24)</f>
        <v>447.76996882962464</v>
      </c>
      <c r="E44" s="106">
        <f>$C$42</f>
        <v>15</v>
      </c>
      <c r="H44" s="109">
        <f>$D$44/$E$44/2</f>
        <v>14.925665627654155</v>
      </c>
      <c r="I44" s="109">
        <f>$D$44/$E$44</f>
        <v>29.85133125530831</v>
      </c>
      <c r="J44" s="109">
        <f t="shared" ref="J44:L44" si="23">$D$44/$E$44</f>
        <v>29.85133125530831</v>
      </c>
      <c r="K44" s="109">
        <f t="shared" si="23"/>
        <v>29.85133125530831</v>
      </c>
      <c r="L44" s="109">
        <f t="shared" si="23"/>
        <v>29.85133125530831</v>
      </c>
    </row>
    <row r="45" spans="1:12" x14ac:dyDescent="0.3">
      <c r="A45" s="2"/>
      <c r="C45" s="106" t="s">
        <v>23</v>
      </c>
      <c r="D45" s="108">
        <v>472.45802007304235</v>
      </c>
      <c r="E45" s="106">
        <f t="shared" ref="E45:E48" si="24">$C$42</f>
        <v>15</v>
      </c>
      <c r="I45" s="109">
        <f>$D$45/$E$45/2</f>
        <v>15.748600669101412</v>
      </c>
      <c r="J45" s="109">
        <f>$D$45/$E$45</f>
        <v>31.497201338202824</v>
      </c>
      <c r="K45" s="109">
        <f t="shared" ref="K45:L45" si="25">$D$45/$E$45</f>
        <v>31.497201338202824</v>
      </c>
      <c r="L45" s="109">
        <f t="shared" si="25"/>
        <v>31.497201338202824</v>
      </c>
    </row>
    <row r="46" spans="1:12" x14ac:dyDescent="0.3">
      <c r="A46" s="2"/>
      <c r="C46" s="106" t="s">
        <v>24</v>
      </c>
      <c r="D46" s="108">
        <v>495.85643019814859</v>
      </c>
      <c r="E46" s="106">
        <f t="shared" si="24"/>
        <v>15</v>
      </c>
      <c r="J46" s="109">
        <f>$D$46/$E$46/2</f>
        <v>16.528547673271621</v>
      </c>
      <c r="K46" s="109">
        <f>$D$46/$E$46</f>
        <v>33.057095346543242</v>
      </c>
      <c r="L46" s="109">
        <f t="shared" ref="L46" si="26">$D$46/$E$46</f>
        <v>33.057095346543242</v>
      </c>
    </row>
    <row r="47" spans="1:12" x14ac:dyDescent="0.3">
      <c r="A47" s="2"/>
      <c r="C47" s="106" t="s">
        <v>25</v>
      </c>
      <c r="D47" s="108">
        <v>645.82943250914298</v>
      </c>
      <c r="E47" s="106">
        <f t="shared" si="24"/>
        <v>15</v>
      </c>
      <c r="K47" s="109">
        <f>$D$47/$E$47/2</f>
        <v>21.527647750304766</v>
      </c>
      <c r="L47" s="109">
        <f>$D$47/$E$47</f>
        <v>43.055295500609532</v>
      </c>
    </row>
    <row r="48" spans="1:12" x14ac:dyDescent="0.3">
      <c r="A48" s="1"/>
      <c r="B48" s="42"/>
      <c r="C48" s="106" t="s">
        <v>26</v>
      </c>
      <c r="D48" s="108">
        <v>673.19590988180801</v>
      </c>
      <c r="E48" s="106">
        <f t="shared" si="24"/>
        <v>15</v>
      </c>
      <c r="F48" s="42"/>
      <c r="G48" s="42"/>
      <c r="H48" s="42"/>
      <c r="I48" s="42"/>
      <c r="J48" s="42"/>
      <c r="K48" s="42"/>
      <c r="L48" s="110">
        <f>D48/E48</f>
        <v>44.879727325453864</v>
      </c>
    </row>
    <row r="49" spans="1:12" x14ac:dyDescent="0.3">
      <c r="A49" s="21"/>
      <c r="B49" s="21" t="s">
        <v>253</v>
      </c>
      <c r="C49" s="21"/>
      <c r="D49" s="93"/>
      <c r="E49" s="21"/>
      <c r="F49" s="21"/>
      <c r="G49" s="21"/>
      <c r="H49" s="93">
        <f>SUM(H42:H48)</f>
        <v>200.92566562765415</v>
      </c>
      <c r="I49" s="93">
        <f t="shared" ref="I49:L49" si="27">SUM(I42:I48)</f>
        <v>231.59993192440973</v>
      </c>
      <c r="J49" s="93">
        <f t="shared" si="27"/>
        <v>263.87708026678274</v>
      </c>
      <c r="K49" s="93">
        <f t="shared" si="27"/>
        <v>301.93327569035915</v>
      </c>
      <c r="L49" s="93">
        <f t="shared" si="27"/>
        <v>368.34065076611779</v>
      </c>
    </row>
    <row r="50" spans="1:12" x14ac:dyDescent="0.3">
      <c r="A50" s="2">
        <v>3</v>
      </c>
      <c r="B50" s="116" t="s">
        <v>237</v>
      </c>
      <c r="C50" s="107">
        <f>C15</f>
        <v>993</v>
      </c>
      <c r="D50" s="106"/>
      <c r="E50" s="106"/>
      <c r="F50" s="106"/>
      <c r="G50" s="106"/>
      <c r="H50" s="106"/>
      <c r="I50" s="106"/>
      <c r="J50" s="106"/>
      <c r="K50" s="106"/>
      <c r="L50" s="106"/>
    </row>
    <row r="51" spans="1:12" x14ac:dyDescent="0.3">
      <c r="A51" s="2"/>
      <c r="B51" s="106" t="s">
        <v>246</v>
      </c>
      <c r="C51" s="106">
        <f>D15</f>
        <v>10</v>
      </c>
      <c r="D51" s="106"/>
      <c r="E51" s="106"/>
      <c r="F51" s="106"/>
      <c r="G51" s="106"/>
      <c r="H51" s="117">
        <f>$C$50/$C$51</f>
        <v>99.3</v>
      </c>
      <c r="I51" s="117">
        <f t="shared" ref="I51:L51" si="28">$C$50/$C$51</f>
        <v>99.3</v>
      </c>
      <c r="J51" s="117">
        <f t="shared" si="28"/>
        <v>99.3</v>
      </c>
      <c r="K51" s="117">
        <f t="shared" si="28"/>
        <v>99.3</v>
      </c>
      <c r="L51" s="117">
        <f t="shared" si="28"/>
        <v>99.3</v>
      </c>
    </row>
    <row r="52" spans="1:12" x14ac:dyDescent="0.3">
      <c r="A52" s="2"/>
      <c r="C52" s="112" t="s">
        <v>247</v>
      </c>
      <c r="D52" s="112" t="s">
        <v>248</v>
      </c>
      <c r="E52" s="112" t="s">
        <v>249</v>
      </c>
    </row>
    <row r="53" spans="1:12" x14ac:dyDescent="0.3">
      <c r="A53" s="2"/>
      <c r="C53" s="106" t="s">
        <v>22</v>
      </c>
      <c r="D53" s="107">
        <f t="array" ref="D53:D57">TRANSPOSE(H25:L25)</f>
        <v>159.36759105656532</v>
      </c>
      <c r="E53" s="106">
        <f>$C$51</f>
        <v>10</v>
      </c>
      <c r="H53" s="119">
        <f>$D$53/$E$53/2</f>
        <v>7.9683795528282655</v>
      </c>
      <c r="I53" s="119">
        <f>$D$53/$E$53</f>
        <v>15.936759105656531</v>
      </c>
      <c r="J53" s="119">
        <f t="shared" ref="J53:L53" si="29">$D$53/$E$53</f>
        <v>15.936759105656531</v>
      </c>
      <c r="K53" s="119">
        <f t="shared" si="29"/>
        <v>15.936759105656531</v>
      </c>
      <c r="L53" s="119">
        <f t="shared" si="29"/>
        <v>15.936759105656531</v>
      </c>
    </row>
    <row r="54" spans="1:12" x14ac:dyDescent="0.3">
      <c r="A54" s="2"/>
      <c r="C54" s="106" t="s">
        <v>23</v>
      </c>
      <c r="D54" s="107">
        <v>168.15441359588925</v>
      </c>
      <c r="E54" s="106">
        <f t="shared" ref="E54:E57" si="30">$C$51</f>
        <v>10</v>
      </c>
      <c r="I54" s="109">
        <f>$D$54/$E$54/2</f>
        <v>8.4077206797944619</v>
      </c>
      <c r="J54" s="109">
        <f>$D$54/$E$54</f>
        <v>16.815441359588924</v>
      </c>
      <c r="K54" s="109">
        <f t="shared" ref="K54:L54" si="31">$D$54/$E$54</f>
        <v>16.815441359588924</v>
      </c>
      <c r="L54" s="109">
        <f t="shared" si="31"/>
        <v>16.815441359588924</v>
      </c>
    </row>
    <row r="55" spans="1:12" x14ac:dyDescent="0.3">
      <c r="A55" s="2"/>
      <c r="C55" s="106" t="s">
        <v>24</v>
      </c>
      <c r="D55" s="107">
        <v>176.4822348339647</v>
      </c>
      <c r="E55" s="106">
        <f t="shared" si="30"/>
        <v>10</v>
      </c>
      <c r="J55" s="109">
        <f>$D$55/$E$55/2</f>
        <v>8.8241117416982355</v>
      </c>
      <c r="K55" s="109">
        <f>$D$55/$E$55</f>
        <v>17.648223483396471</v>
      </c>
      <c r="L55" s="109">
        <f t="shared" ref="L55" si="32">$D$55/$E$55</f>
        <v>17.648223483396471</v>
      </c>
    </row>
    <row r="56" spans="1:12" x14ac:dyDescent="0.3">
      <c r="A56" s="2"/>
      <c r="C56" s="106" t="s">
        <v>25</v>
      </c>
      <c r="D56" s="107">
        <v>229.85972275325409</v>
      </c>
      <c r="E56" s="106">
        <f t="shared" si="30"/>
        <v>10</v>
      </c>
      <c r="K56" s="109">
        <f>$D$56/$E$56/2</f>
        <v>11.492986137662704</v>
      </c>
      <c r="L56" s="109">
        <f>$D$56/$E$56</f>
        <v>22.985972275325409</v>
      </c>
    </row>
    <row r="57" spans="1:12" x14ac:dyDescent="0.3">
      <c r="A57" s="23"/>
      <c r="B57" s="96"/>
      <c r="C57" s="113" t="s">
        <v>26</v>
      </c>
      <c r="D57" s="114">
        <v>239.59983459234243</v>
      </c>
      <c r="E57" s="106">
        <f t="shared" si="30"/>
        <v>10</v>
      </c>
      <c r="F57" s="96"/>
      <c r="G57" s="96"/>
      <c r="H57" s="96"/>
      <c r="I57" s="96"/>
      <c r="J57" s="96"/>
      <c r="K57" s="96"/>
      <c r="L57" s="111">
        <f>D57/E57</f>
        <v>23.959983459234245</v>
      </c>
    </row>
    <row r="58" spans="1:12" x14ac:dyDescent="0.3">
      <c r="A58" s="21"/>
      <c r="B58" s="21" t="s">
        <v>254</v>
      </c>
      <c r="C58" s="21"/>
      <c r="D58" s="93"/>
      <c r="E58" s="21"/>
      <c r="F58" s="21"/>
      <c r="G58" s="21"/>
      <c r="H58" s="118">
        <f>SUM(H51:H57)</f>
        <v>107.26837955282826</v>
      </c>
      <c r="I58" s="118">
        <f t="shared" ref="I58:L58" si="33">SUM(I51:I57)</f>
        <v>123.644479785451</v>
      </c>
      <c r="J58" s="118">
        <f t="shared" si="33"/>
        <v>140.87631220694368</v>
      </c>
      <c r="K58" s="118">
        <f t="shared" si="33"/>
        <v>161.19341008630462</v>
      </c>
      <c r="L58" s="118">
        <f t="shared" si="33"/>
        <v>196.64637968320159</v>
      </c>
    </row>
    <row r="59" spans="1:12" x14ac:dyDescent="0.3">
      <c r="A59" s="2">
        <v>4</v>
      </c>
      <c r="B59" s="116" t="s">
        <v>239</v>
      </c>
      <c r="C59" s="107">
        <f>C16</f>
        <v>14948</v>
      </c>
      <c r="D59" s="106"/>
      <c r="E59" s="106"/>
      <c r="F59" s="106"/>
      <c r="G59" s="106"/>
      <c r="H59" s="106"/>
      <c r="I59" s="106"/>
      <c r="J59" s="106"/>
      <c r="K59" s="106"/>
      <c r="L59" s="106"/>
    </row>
    <row r="60" spans="1:12" x14ac:dyDescent="0.3">
      <c r="A60" s="2"/>
      <c r="B60" s="106" t="s">
        <v>246</v>
      </c>
      <c r="C60" s="106">
        <f>D16</f>
        <v>4</v>
      </c>
      <c r="D60" s="106"/>
      <c r="E60" s="106"/>
      <c r="F60" s="106"/>
      <c r="G60" s="106"/>
      <c r="H60" s="107">
        <f>$C$59/$C$60</f>
        <v>3737</v>
      </c>
      <c r="I60" s="107">
        <f t="shared" ref="I60:L60" si="34">$C$59/$C$60</f>
        <v>3737</v>
      </c>
      <c r="J60" s="107">
        <f t="shared" si="34"/>
        <v>3737</v>
      </c>
      <c r="K60" s="107">
        <f t="shared" si="34"/>
        <v>3737</v>
      </c>
      <c r="L60" s="107">
        <f t="shared" si="34"/>
        <v>3737</v>
      </c>
    </row>
    <row r="61" spans="1:12" x14ac:dyDescent="0.3">
      <c r="A61" s="2"/>
      <c r="C61" s="112" t="s">
        <v>247</v>
      </c>
      <c r="D61" s="112" t="s">
        <v>248</v>
      </c>
      <c r="E61" s="112" t="s">
        <v>249</v>
      </c>
    </row>
    <row r="62" spans="1:12" x14ac:dyDescent="0.3">
      <c r="A62" s="2"/>
      <c r="C62" s="106" t="s">
        <v>22</v>
      </c>
      <c r="D62" s="108">
        <f t="array" ref="D62:D66">TRANSPOSE(H26:L26)</f>
        <v>2399.0198903459604</v>
      </c>
      <c r="E62" s="106">
        <f>$C$60</f>
        <v>4</v>
      </c>
      <c r="H62" s="109">
        <f>$D$62/$E$62/2</f>
        <v>299.87748629324506</v>
      </c>
      <c r="I62" s="109">
        <f>$D$62/$E$62</f>
        <v>599.75497258649011</v>
      </c>
      <c r="J62" s="109">
        <f t="shared" ref="J62:L62" si="35">$D$62/$E$62</f>
        <v>599.75497258649011</v>
      </c>
      <c r="K62" s="109">
        <f t="shared" si="35"/>
        <v>599.75497258649011</v>
      </c>
      <c r="L62" s="109">
        <f t="shared" si="35"/>
        <v>599.75497258649011</v>
      </c>
    </row>
    <row r="63" spans="1:12" x14ac:dyDescent="0.3">
      <c r="A63" s="2"/>
      <c r="C63" s="106" t="s">
        <v>23</v>
      </c>
      <c r="D63" s="108">
        <v>2531.2912129218053</v>
      </c>
      <c r="E63" s="106">
        <f t="shared" ref="E63:E66" si="36">$C$60</f>
        <v>4</v>
      </c>
      <c r="I63" s="109">
        <f>$D$63/$E$63/2</f>
        <v>316.41140161522566</v>
      </c>
      <c r="J63" s="109">
        <f>$D$63/$E$63</f>
        <v>632.82280323045131</v>
      </c>
      <c r="K63" s="109">
        <f t="shared" ref="K63:L63" si="37">$D$63/$E$63</f>
        <v>632.82280323045131</v>
      </c>
      <c r="L63" s="109">
        <f t="shared" si="37"/>
        <v>632.82280323045131</v>
      </c>
    </row>
    <row r="64" spans="1:12" x14ac:dyDescent="0.3">
      <c r="A64" s="2"/>
      <c r="C64" s="106" t="s">
        <v>24</v>
      </c>
      <c r="D64" s="108">
        <v>2656.6530174200452</v>
      </c>
      <c r="E64" s="106">
        <f t="shared" si="36"/>
        <v>4</v>
      </c>
      <c r="J64" s="109">
        <f>$D$64/$E$64/2</f>
        <v>332.08162717750565</v>
      </c>
      <c r="K64" s="109">
        <f>$D$64/$E$64</f>
        <v>664.1632543550113</v>
      </c>
      <c r="L64" s="109">
        <f t="shared" ref="L64" si="38">$D$64/$E$64</f>
        <v>664.1632543550113</v>
      </c>
    </row>
    <row r="65" spans="1:12" x14ac:dyDescent="0.3">
      <c r="A65" s="2"/>
      <c r="C65" s="106" t="s">
        <v>25</v>
      </c>
      <c r="D65" s="108">
        <v>3460.1642857156521</v>
      </c>
      <c r="E65" s="106">
        <f t="shared" si="36"/>
        <v>4</v>
      </c>
      <c r="K65" s="109">
        <f>$D$65/$E$65/2</f>
        <v>432.52053571445651</v>
      </c>
      <c r="L65" s="109">
        <f>$D$65/$E$65</f>
        <v>865.04107142891303</v>
      </c>
    </row>
    <row r="66" spans="1:12" x14ac:dyDescent="0.3">
      <c r="A66" s="1"/>
      <c r="B66" s="42"/>
      <c r="C66" s="106" t="s">
        <v>26</v>
      </c>
      <c r="D66" s="108">
        <v>3606.7858282843254</v>
      </c>
      <c r="E66" s="106">
        <f t="shared" si="36"/>
        <v>4</v>
      </c>
      <c r="F66" s="42"/>
      <c r="G66" s="42"/>
      <c r="H66" s="42"/>
      <c r="I66" s="42"/>
      <c r="J66" s="42"/>
      <c r="K66" s="42"/>
      <c r="L66" s="110">
        <f>D66/E66</f>
        <v>901.69645707108134</v>
      </c>
    </row>
    <row r="67" spans="1:12" x14ac:dyDescent="0.3">
      <c r="A67" s="21"/>
      <c r="B67" s="21" t="s">
        <v>259</v>
      </c>
      <c r="C67" s="21"/>
      <c r="D67" s="93"/>
      <c r="E67" s="21"/>
      <c r="F67" s="21"/>
      <c r="G67" s="21"/>
      <c r="H67" s="93">
        <f>SUM(H60:H66)</f>
        <v>4036.8774862932451</v>
      </c>
      <c r="I67" s="93">
        <f t="shared" ref="I67:L67" si="39">SUM(I60:I66)</f>
        <v>4653.1663742017154</v>
      </c>
      <c r="J67" s="93">
        <f t="shared" si="39"/>
        <v>5301.6594029944472</v>
      </c>
      <c r="K67" s="93">
        <f t="shared" si="39"/>
        <v>6066.2615658864097</v>
      </c>
      <c r="L67" s="93">
        <f t="shared" si="39"/>
        <v>7400.4785586719472</v>
      </c>
    </row>
    <row r="68" spans="1:12" x14ac:dyDescent="0.3">
      <c r="A68" s="2">
        <v>5</v>
      </c>
      <c r="B68" s="116" t="s">
        <v>240</v>
      </c>
      <c r="C68" s="107">
        <f>C17</f>
        <v>53</v>
      </c>
      <c r="D68" s="106"/>
      <c r="E68" s="106"/>
      <c r="F68" s="106"/>
      <c r="G68" s="106"/>
      <c r="H68" s="106"/>
      <c r="I68" s="106"/>
      <c r="J68" s="106"/>
      <c r="K68" s="106"/>
      <c r="L68" s="106"/>
    </row>
    <row r="69" spans="1:12" x14ac:dyDescent="0.3">
      <c r="A69" s="2"/>
      <c r="B69" s="106" t="s">
        <v>246</v>
      </c>
      <c r="C69" s="106">
        <f>D17</f>
        <v>4</v>
      </c>
      <c r="D69" s="106"/>
      <c r="E69" s="106"/>
      <c r="F69" s="106"/>
      <c r="G69" s="106"/>
      <c r="H69" s="117">
        <f>$C$68/$C$69</f>
        <v>13.25</v>
      </c>
      <c r="I69" s="117">
        <f t="shared" ref="I69:L69" si="40">$C$68/$C$69</f>
        <v>13.25</v>
      </c>
      <c r="J69" s="117">
        <f t="shared" si="40"/>
        <v>13.25</v>
      </c>
      <c r="K69" s="117">
        <f t="shared" si="40"/>
        <v>13.25</v>
      </c>
      <c r="L69" s="117">
        <f t="shared" si="40"/>
        <v>13.25</v>
      </c>
    </row>
    <row r="70" spans="1:12" x14ac:dyDescent="0.3">
      <c r="A70" s="2"/>
      <c r="C70" s="112" t="s">
        <v>247</v>
      </c>
      <c r="D70" s="112" t="s">
        <v>248</v>
      </c>
      <c r="E70" s="112" t="s">
        <v>249</v>
      </c>
    </row>
    <row r="71" spans="1:12" x14ac:dyDescent="0.3">
      <c r="A71" s="2"/>
      <c r="C71" s="106" t="s">
        <v>22</v>
      </c>
      <c r="D71" s="107">
        <f t="array" ref="D71:D75">H27:L27</f>
        <v>8.5060244974803254</v>
      </c>
      <c r="E71" s="106">
        <f>$C$69</f>
        <v>4</v>
      </c>
      <c r="H71" s="109">
        <f>$D$71/$E$71/2</f>
        <v>1.0632530621850407</v>
      </c>
      <c r="I71" s="109">
        <f>$D$71/$E$71</f>
        <v>2.1265061243700814</v>
      </c>
      <c r="J71" s="109">
        <f t="shared" ref="J71:L71" si="41">$D$71/$E$71</f>
        <v>2.1265061243700814</v>
      </c>
      <c r="K71" s="109">
        <f t="shared" si="41"/>
        <v>2.1265061243700814</v>
      </c>
      <c r="L71" s="109">
        <f t="shared" si="41"/>
        <v>2.1265061243700814</v>
      </c>
    </row>
    <row r="72" spans="1:12" x14ac:dyDescent="0.3">
      <c r="A72" s="2"/>
      <c r="C72" s="106" t="s">
        <v>23</v>
      </c>
      <c r="D72" s="107">
        <v>8.5060244974803254</v>
      </c>
      <c r="E72" s="106">
        <f t="shared" ref="E72:E75" si="42">$C$69</f>
        <v>4</v>
      </c>
      <c r="I72" s="109">
        <f>$D$72/$E$72/2</f>
        <v>1.0632530621850407</v>
      </c>
      <c r="J72" s="109">
        <f>$D$72/$E$72</f>
        <v>2.1265061243700814</v>
      </c>
      <c r="K72" s="109">
        <f t="shared" ref="K72:L72" si="43">$D$72/$E$72</f>
        <v>2.1265061243700814</v>
      </c>
      <c r="L72" s="109">
        <f t="shared" si="43"/>
        <v>2.1265061243700814</v>
      </c>
    </row>
    <row r="73" spans="1:12" x14ac:dyDescent="0.3">
      <c r="A73" s="2"/>
      <c r="C73" s="106" t="s">
        <v>24</v>
      </c>
      <c r="D73" s="107">
        <v>8.5060244974803254</v>
      </c>
      <c r="E73" s="106">
        <f t="shared" si="42"/>
        <v>4</v>
      </c>
      <c r="J73" s="109">
        <f>$D$73/$E$73/2</f>
        <v>1.0632530621850407</v>
      </c>
      <c r="K73" s="109">
        <f>$D$73/$E$73</f>
        <v>2.1265061243700814</v>
      </c>
      <c r="L73" s="109">
        <f t="shared" ref="L73" si="44">$D$73/$E$73</f>
        <v>2.1265061243700814</v>
      </c>
    </row>
    <row r="74" spans="1:12" x14ac:dyDescent="0.3">
      <c r="A74" s="2"/>
      <c r="C74" s="106" t="s">
        <v>25</v>
      </c>
      <c r="D74" s="107">
        <v>8.5060244974803254</v>
      </c>
      <c r="E74" s="106">
        <f t="shared" si="42"/>
        <v>4</v>
      </c>
      <c r="K74" s="109">
        <f>$D$74/$E$74/2</f>
        <v>1.0632530621850407</v>
      </c>
      <c r="L74" s="109">
        <f>$D$74/$E$74</f>
        <v>2.1265061243700814</v>
      </c>
    </row>
    <row r="75" spans="1:12" x14ac:dyDescent="0.3">
      <c r="A75" s="23"/>
      <c r="B75" s="96"/>
      <c r="C75" s="113" t="s">
        <v>26</v>
      </c>
      <c r="D75" s="114">
        <v>8.5060244974803254</v>
      </c>
      <c r="E75" s="106">
        <f t="shared" si="42"/>
        <v>4</v>
      </c>
      <c r="F75" s="96"/>
      <c r="G75" s="96"/>
      <c r="H75" s="96"/>
      <c r="I75" s="96"/>
      <c r="J75" s="96"/>
      <c r="K75" s="96"/>
      <c r="L75" s="111">
        <f>D75/E75</f>
        <v>2.1265061243700814</v>
      </c>
    </row>
    <row r="76" spans="1:12" x14ac:dyDescent="0.3">
      <c r="A76" s="21"/>
      <c r="B76" s="21" t="s">
        <v>258</v>
      </c>
      <c r="C76" s="21"/>
      <c r="D76" s="93"/>
      <c r="E76" s="21"/>
      <c r="F76" s="21"/>
      <c r="G76" s="21"/>
      <c r="H76" s="120">
        <f>SUM(H69:H75)</f>
        <v>14.313253062185041</v>
      </c>
      <c r="I76" s="120">
        <f t="shared" ref="I76:L76" si="45">SUM(I69:I75)</f>
        <v>16.439759186555122</v>
      </c>
      <c r="J76" s="120">
        <f t="shared" si="45"/>
        <v>18.566265310925203</v>
      </c>
      <c r="K76" s="120">
        <f t="shared" si="45"/>
        <v>20.692771435295285</v>
      </c>
      <c r="L76" s="120">
        <f t="shared" si="45"/>
        <v>23.882530621850407</v>
      </c>
    </row>
    <row r="77" spans="1:12" x14ac:dyDescent="0.3">
      <c r="A77" s="2">
        <v>6</v>
      </c>
      <c r="B77" s="116" t="s">
        <v>241</v>
      </c>
      <c r="C77" s="107">
        <f>C18</f>
        <v>3160</v>
      </c>
      <c r="D77" s="106"/>
      <c r="E77" s="106"/>
      <c r="F77" s="106"/>
      <c r="G77" s="106"/>
      <c r="H77" s="106"/>
      <c r="I77" s="106"/>
      <c r="J77" s="106"/>
      <c r="K77" s="106"/>
      <c r="L77" s="106"/>
    </row>
    <row r="78" spans="1:12" x14ac:dyDescent="0.3">
      <c r="A78" s="2"/>
      <c r="B78" s="106" t="s">
        <v>246</v>
      </c>
      <c r="C78" s="106">
        <f>D18</f>
        <v>5</v>
      </c>
      <c r="D78" s="106"/>
      <c r="E78" s="106"/>
      <c r="F78" s="106"/>
      <c r="G78" s="106"/>
      <c r="H78" s="107">
        <f>$C$77/$C$78</f>
        <v>632</v>
      </c>
      <c r="I78" s="107">
        <f t="shared" ref="I78:L78" si="46">$C$77/$C$78</f>
        <v>632</v>
      </c>
      <c r="J78" s="107">
        <f t="shared" si="46"/>
        <v>632</v>
      </c>
      <c r="K78" s="107">
        <f t="shared" si="46"/>
        <v>632</v>
      </c>
      <c r="L78" s="107">
        <f t="shared" si="46"/>
        <v>632</v>
      </c>
    </row>
    <row r="79" spans="1:12" x14ac:dyDescent="0.3">
      <c r="A79" s="2"/>
      <c r="C79" s="112" t="s">
        <v>247</v>
      </c>
      <c r="D79" s="112" t="s">
        <v>248</v>
      </c>
      <c r="E79" s="112" t="s">
        <v>249</v>
      </c>
    </row>
    <row r="80" spans="1:12" x14ac:dyDescent="0.3">
      <c r="A80" s="2"/>
      <c r="C80" s="106" t="s">
        <v>22</v>
      </c>
      <c r="D80" s="108">
        <f t="array" ref="D80:D84">TRANSPOSE(H28:L28)</f>
        <v>507.15164928373258</v>
      </c>
      <c r="E80" s="106">
        <f>$C$78</f>
        <v>5</v>
      </c>
      <c r="H80" s="109">
        <f>$D$80/$E$80/2</f>
        <v>50.715164928373255</v>
      </c>
      <c r="I80" s="109">
        <f>$D$80/$E$80</f>
        <v>101.43032985674651</v>
      </c>
      <c r="J80" s="109">
        <f t="shared" ref="J80:L80" si="47">$D$80/$E$80</f>
        <v>101.43032985674651</v>
      </c>
      <c r="K80" s="109">
        <f t="shared" si="47"/>
        <v>101.43032985674651</v>
      </c>
      <c r="L80" s="109">
        <f t="shared" si="47"/>
        <v>101.43032985674651</v>
      </c>
    </row>
    <row r="81" spans="1:12" x14ac:dyDescent="0.3">
      <c r="A81" s="2"/>
      <c r="C81" s="106" t="s">
        <v>23</v>
      </c>
      <c r="D81" s="108">
        <v>535.11374316516617</v>
      </c>
      <c r="E81" s="106">
        <f t="shared" ref="E81:E84" si="48">$C$78</f>
        <v>5</v>
      </c>
      <c r="I81" s="109">
        <f>$D$81/$E$81/2</f>
        <v>53.511374316516616</v>
      </c>
      <c r="J81" s="109">
        <f>$D$81/$E$81</f>
        <v>107.02274863303323</v>
      </c>
      <c r="K81" s="109">
        <f t="shared" ref="K81:L81" si="49">$D$81/$E$81</f>
        <v>107.02274863303323</v>
      </c>
      <c r="L81" s="109">
        <f t="shared" si="49"/>
        <v>107.02274863303323</v>
      </c>
    </row>
    <row r="82" spans="1:12" x14ac:dyDescent="0.3">
      <c r="A82" s="2"/>
      <c r="C82" s="106" t="s">
        <v>24</v>
      </c>
      <c r="D82" s="108">
        <v>561.61516825310014</v>
      </c>
      <c r="E82" s="106">
        <f t="shared" si="48"/>
        <v>5</v>
      </c>
      <c r="J82" s="109">
        <f>$D$82/$E$82/2</f>
        <v>56.161516825310017</v>
      </c>
      <c r="K82" s="109">
        <f>$D$82/$E$82</f>
        <v>112.32303365062003</v>
      </c>
      <c r="L82" s="109">
        <f t="shared" ref="L82" si="50">$D$82/$E$82</f>
        <v>112.32303365062003</v>
      </c>
    </row>
    <row r="83" spans="1:12" x14ac:dyDescent="0.3">
      <c r="A83" s="2"/>
      <c r="C83" s="106" t="s">
        <v>25</v>
      </c>
      <c r="D83" s="108">
        <v>731.47706334368877</v>
      </c>
      <c r="E83" s="106">
        <f t="shared" si="48"/>
        <v>5</v>
      </c>
      <c r="K83" s="109">
        <f>$D$83/$E$83/2</f>
        <v>73.147706334368877</v>
      </c>
      <c r="L83" s="109">
        <f>$D$83/$E$83</f>
        <v>146.29541266873775</v>
      </c>
    </row>
    <row r="84" spans="1:12" x14ac:dyDescent="0.3">
      <c r="A84" s="1"/>
      <c r="B84" s="42"/>
      <c r="C84" s="106" t="s">
        <v>26</v>
      </c>
      <c r="D84" s="108">
        <v>762.4727868195389</v>
      </c>
      <c r="E84" s="106">
        <f t="shared" si="48"/>
        <v>5</v>
      </c>
      <c r="F84" s="42"/>
      <c r="G84" s="42"/>
      <c r="H84" s="42"/>
      <c r="I84" s="42"/>
      <c r="J84" s="42"/>
      <c r="K84" s="42"/>
      <c r="L84" s="110">
        <f>D84/E84</f>
        <v>152.49455736390777</v>
      </c>
    </row>
    <row r="85" spans="1:12" x14ac:dyDescent="0.3">
      <c r="A85" s="21"/>
      <c r="B85" s="21" t="s">
        <v>257</v>
      </c>
      <c r="C85" s="21"/>
      <c r="D85" s="93"/>
      <c r="E85" s="21"/>
      <c r="F85" s="21"/>
      <c r="G85" s="21"/>
      <c r="H85" s="93">
        <f>SUM(H78:H84)</f>
        <v>682.71516492837327</v>
      </c>
      <c r="I85" s="93">
        <f t="shared" ref="I85:L85" si="51">SUM(I78:I84)</f>
        <v>786.94170417326313</v>
      </c>
      <c r="J85" s="93">
        <f t="shared" si="51"/>
        <v>896.61459531508979</v>
      </c>
      <c r="K85" s="93">
        <f t="shared" si="51"/>
        <v>1025.9238184747687</v>
      </c>
      <c r="L85" s="93">
        <f t="shared" si="51"/>
        <v>1251.5660821730451</v>
      </c>
    </row>
    <row r="86" spans="1:12" x14ac:dyDescent="0.3">
      <c r="A86" s="2">
        <v>7</v>
      </c>
      <c r="B86" s="116" t="s">
        <v>242</v>
      </c>
      <c r="C86" s="107">
        <f>C19</f>
        <v>2329</v>
      </c>
      <c r="D86" s="106"/>
      <c r="E86" s="106"/>
      <c r="F86" s="106"/>
      <c r="G86" s="106"/>
      <c r="H86" s="106"/>
      <c r="I86" s="106"/>
      <c r="J86" s="106"/>
      <c r="K86" s="106"/>
      <c r="L86" s="106"/>
    </row>
    <row r="87" spans="1:12" x14ac:dyDescent="0.3">
      <c r="A87" s="2"/>
      <c r="B87" s="106" t="s">
        <v>246</v>
      </c>
      <c r="C87" s="106">
        <f>D19</f>
        <v>10</v>
      </c>
      <c r="D87" s="106"/>
      <c r="E87" s="106"/>
      <c r="F87" s="106"/>
      <c r="G87" s="106"/>
      <c r="H87" s="117">
        <f>$C$86/$C$87</f>
        <v>232.9</v>
      </c>
      <c r="I87" s="117">
        <f t="shared" ref="I87:L87" si="52">$C$86/$C$87</f>
        <v>232.9</v>
      </c>
      <c r="J87" s="117">
        <f t="shared" si="52"/>
        <v>232.9</v>
      </c>
      <c r="K87" s="117">
        <f t="shared" si="52"/>
        <v>232.9</v>
      </c>
      <c r="L87" s="117">
        <f t="shared" si="52"/>
        <v>232.9</v>
      </c>
    </row>
    <row r="88" spans="1:12" x14ac:dyDescent="0.3">
      <c r="A88" s="2"/>
      <c r="C88" s="112" t="s">
        <v>247</v>
      </c>
      <c r="D88" s="112" t="s">
        <v>248</v>
      </c>
      <c r="E88" s="112" t="s">
        <v>249</v>
      </c>
    </row>
    <row r="89" spans="1:12" x14ac:dyDescent="0.3">
      <c r="A89" s="2"/>
      <c r="C89" s="106" t="s">
        <v>22</v>
      </c>
      <c r="D89" s="107">
        <f t="array" ref="D89:D93">TRANSPOSE(H29:L29)</f>
        <v>373.78360480437124</v>
      </c>
      <c r="E89" s="106">
        <f>$C$87</f>
        <v>10</v>
      </c>
      <c r="H89" s="109">
        <f>$D$89/$E$89/2</f>
        <v>18.689180240218562</v>
      </c>
      <c r="I89" s="109">
        <f>$D$89/$E$89</f>
        <v>37.378360480437124</v>
      </c>
      <c r="J89" s="109">
        <f t="shared" ref="J89:L89" si="53">$D$89/$E$89</f>
        <v>37.378360480437124</v>
      </c>
      <c r="K89" s="109">
        <f t="shared" si="53"/>
        <v>37.378360480437124</v>
      </c>
      <c r="L89" s="109">
        <f t="shared" si="53"/>
        <v>37.378360480437124</v>
      </c>
    </row>
    <row r="90" spans="1:12" x14ac:dyDescent="0.3">
      <c r="A90" s="2"/>
      <c r="C90" s="106" t="s">
        <v>23</v>
      </c>
      <c r="D90" s="107">
        <v>394.39237589609877</v>
      </c>
      <c r="E90" s="106">
        <f t="shared" ref="E90:E93" si="54">$C$87</f>
        <v>10</v>
      </c>
      <c r="I90" s="109">
        <f>$D$90/$E$90/2</f>
        <v>19.719618794804937</v>
      </c>
      <c r="J90" s="109">
        <f>$D$90/$E$90</f>
        <v>39.439237589609874</v>
      </c>
      <c r="K90" s="109">
        <f t="shared" ref="K90:L90" si="55">$D$90/$E$90</f>
        <v>39.439237589609874</v>
      </c>
      <c r="L90" s="109">
        <f t="shared" si="55"/>
        <v>39.439237589609874</v>
      </c>
    </row>
    <row r="91" spans="1:12" x14ac:dyDescent="0.3">
      <c r="A91" s="2"/>
      <c r="C91" s="106" t="s">
        <v>24</v>
      </c>
      <c r="D91" s="107">
        <v>413.92459710806025</v>
      </c>
      <c r="E91" s="106">
        <f t="shared" si="54"/>
        <v>10</v>
      </c>
      <c r="J91" s="109">
        <f>$D$91/$E$91/2</f>
        <v>20.696229855403011</v>
      </c>
      <c r="K91" s="109">
        <f>$D$91/$E$91</f>
        <v>41.392459710806023</v>
      </c>
      <c r="L91" s="109">
        <f t="shared" ref="L91" si="56">$D$91/$E$91</f>
        <v>41.392459710806023</v>
      </c>
    </row>
    <row r="92" spans="1:12" x14ac:dyDescent="0.3">
      <c r="A92" s="2"/>
      <c r="C92" s="106" t="s">
        <v>25</v>
      </c>
      <c r="D92" s="107">
        <v>539.11711409096552</v>
      </c>
      <c r="E92" s="106">
        <f t="shared" si="54"/>
        <v>10</v>
      </c>
      <c r="K92" s="109">
        <f>$D$92/$E$92/2</f>
        <v>26.955855704548277</v>
      </c>
      <c r="L92" s="109">
        <f>$D$92/$E$92</f>
        <v>53.911711409096554</v>
      </c>
    </row>
    <row r="93" spans="1:12" x14ac:dyDescent="0.3">
      <c r="A93" s="23"/>
      <c r="B93" s="96"/>
      <c r="C93" s="113" t="s">
        <v>26</v>
      </c>
      <c r="D93" s="114">
        <v>561.96174699452718</v>
      </c>
      <c r="E93" s="106">
        <f t="shared" si="54"/>
        <v>10</v>
      </c>
      <c r="F93" s="96"/>
      <c r="G93" s="96"/>
      <c r="H93" s="96"/>
      <c r="I93" s="96"/>
      <c r="J93" s="96"/>
      <c r="K93" s="96"/>
      <c r="L93" s="111">
        <f>D93/E93</f>
        <v>56.196174699452719</v>
      </c>
    </row>
    <row r="94" spans="1:12" x14ac:dyDescent="0.3">
      <c r="A94" s="21"/>
      <c r="B94" s="21" t="s">
        <v>256</v>
      </c>
      <c r="C94" s="21"/>
      <c r="D94" s="93"/>
      <c r="E94" s="21"/>
      <c r="F94" s="21"/>
      <c r="G94" s="21"/>
      <c r="H94" s="120">
        <f>SUM(H87:H93)</f>
        <v>251.58918024021858</v>
      </c>
      <c r="I94" s="120">
        <f t="shared" ref="I94:L94" si="57">SUM(I87:I93)</f>
        <v>289.99797927524207</v>
      </c>
      <c r="J94" s="120">
        <f t="shared" si="57"/>
        <v>330.41382792545005</v>
      </c>
      <c r="K94" s="120">
        <f t="shared" si="57"/>
        <v>378.06591348540132</v>
      </c>
      <c r="L94" s="120">
        <f t="shared" si="57"/>
        <v>461.21794388940231</v>
      </c>
    </row>
    <row r="95" spans="1:12" x14ac:dyDescent="0.3">
      <c r="A95" s="2">
        <v>8</v>
      </c>
      <c r="B95" s="116" t="s">
        <v>243</v>
      </c>
      <c r="C95" s="107">
        <f>C20</f>
        <v>2297</v>
      </c>
      <c r="D95" s="106"/>
      <c r="E95" s="106"/>
      <c r="F95" s="106"/>
      <c r="G95" s="106"/>
      <c r="H95" s="106"/>
      <c r="I95" s="106"/>
      <c r="J95" s="106"/>
      <c r="K95" s="106"/>
      <c r="L95" s="106"/>
    </row>
    <row r="96" spans="1:12" x14ac:dyDescent="0.3">
      <c r="A96" s="2"/>
      <c r="B96" s="106" t="s">
        <v>246</v>
      </c>
      <c r="C96" s="106">
        <f>D20</f>
        <v>5</v>
      </c>
      <c r="D96" s="106"/>
      <c r="E96" s="106"/>
      <c r="F96" s="106"/>
      <c r="G96" s="106"/>
      <c r="H96" s="117">
        <f>$C$95/$C$96</f>
        <v>459.4</v>
      </c>
      <c r="I96" s="117">
        <f t="shared" ref="I96:L96" si="58">$C$95/$C$96</f>
        <v>459.4</v>
      </c>
      <c r="J96" s="117">
        <f t="shared" si="58"/>
        <v>459.4</v>
      </c>
      <c r="K96" s="117">
        <f t="shared" si="58"/>
        <v>459.4</v>
      </c>
      <c r="L96" s="117">
        <f t="shared" si="58"/>
        <v>459.4</v>
      </c>
    </row>
    <row r="97" spans="1:12" x14ac:dyDescent="0.3">
      <c r="A97" s="2"/>
      <c r="C97" s="112" t="s">
        <v>247</v>
      </c>
      <c r="D97" s="112" t="s">
        <v>248</v>
      </c>
      <c r="E97" s="112" t="s">
        <v>249</v>
      </c>
    </row>
    <row r="98" spans="1:12" x14ac:dyDescent="0.3">
      <c r="A98" s="2"/>
      <c r="C98" s="106" t="s">
        <v>22</v>
      </c>
      <c r="D98" s="108">
        <f t="array" ref="D98:D102">TRANSPOSE(H30:L30)</f>
        <v>368.6478919002322</v>
      </c>
      <c r="E98" s="106">
        <f>$C$96</f>
        <v>5</v>
      </c>
      <c r="H98" s="109">
        <f>$D$98/$E$98/2</f>
        <v>36.864789190023217</v>
      </c>
      <c r="I98" s="109">
        <f>$D$98/$E$98</f>
        <v>73.729578380046433</v>
      </c>
      <c r="J98" s="109">
        <f t="shared" ref="J98:L98" si="59">$D$98/$E$98</f>
        <v>73.729578380046433</v>
      </c>
      <c r="K98" s="109">
        <f t="shared" si="59"/>
        <v>73.729578380046433</v>
      </c>
      <c r="L98" s="109">
        <f t="shared" si="59"/>
        <v>73.729578380046433</v>
      </c>
    </row>
    <row r="99" spans="1:12" x14ac:dyDescent="0.3">
      <c r="A99" s="2"/>
      <c r="C99" s="106" t="s">
        <v>23</v>
      </c>
      <c r="D99" s="108">
        <v>388.97350254759078</v>
      </c>
      <c r="E99" s="106">
        <f t="shared" ref="E99:E102" si="60">$C$96</f>
        <v>5</v>
      </c>
      <c r="I99" s="109">
        <f>$D$99/$E$99/2</f>
        <v>38.897350254759075</v>
      </c>
      <c r="J99" s="109">
        <f>$D$99/$E$99</f>
        <v>77.794700509518151</v>
      </c>
      <c r="K99" s="109">
        <f t="shared" ref="K99:L99" si="61">$D$99/$E$99</f>
        <v>77.794700509518151</v>
      </c>
      <c r="L99" s="109">
        <f t="shared" si="61"/>
        <v>77.794700509518151</v>
      </c>
    </row>
    <row r="100" spans="1:12" x14ac:dyDescent="0.3">
      <c r="A100" s="2"/>
      <c r="C100" s="106" t="s">
        <v>24</v>
      </c>
      <c r="D100" s="108">
        <v>408.23735489790226</v>
      </c>
      <c r="E100" s="106">
        <f t="shared" si="60"/>
        <v>5</v>
      </c>
      <c r="J100" s="109">
        <f>$D$100/$E$100/2</f>
        <v>40.823735489790224</v>
      </c>
      <c r="K100" s="109">
        <f>$D$100/$E$100</f>
        <v>81.647470979580447</v>
      </c>
      <c r="L100" s="109">
        <f t="shared" ref="L100" si="62">$D$100/$E$100</f>
        <v>81.647470979580447</v>
      </c>
    </row>
    <row r="101" spans="1:12" x14ac:dyDescent="0.3">
      <c r="A101" s="2"/>
      <c r="C101" s="106" t="s">
        <v>25</v>
      </c>
      <c r="D101" s="108">
        <v>531.709751424194</v>
      </c>
      <c r="E101" s="106">
        <f t="shared" si="60"/>
        <v>5</v>
      </c>
      <c r="K101" s="109">
        <f>$D$101/$E$101/2</f>
        <v>53.170975142419401</v>
      </c>
      <c r="L101" s="109">
        <f>$D$101/$E$101</f>
        <v>106.3419502848388</v>
      </c>
    </row>
    <row r="102" spans="1:12" x14ac:dyDescent="0.3">
      <c r="A102" s="1"/>
      <c r="B102" s="42"/>
      <c r="C102" s="106" t="s">
        <v>26</v>
      </c>
      <c r="D102" s="108">
        <v>554.24050358369652</v>
      </c>
      <c r="E102" s="106">
        <f t="shared" si="60"/>
        <v>5</v>
      </c>
      <c r="F102" s="42"/>
      <c r="G102" s="42"/>
      <c r="H102" s="42"/>
      <c r="I102" s="42"/>
      <c r="J102" s="42"/>
      <c r="K102" s="42"/>
      <c r="L102" s="110">
        <f>D102/E102</f>
        <v>110.84810071673931</v>
      </c>
    </row>
    <row r="103" spans="1:12" x14ac:dyDescent="0.3">
      <c r="A103" s="18"/>
      <c r="B103" s="21" t="s">
        <v>255</v>
      </c>
      <c r="C103" s="21"/>
      <c r="D103" s="21"/>
      <c r="E103" s="21"/>
      <c r="F103" s="21"/>
      <c r="G103" s="21"/>
      <c r="H103" s="120">
        <f>SUM(H96:H102)</f>
        <v>496.26478919002318</v>
      </c>
      <c r="I103" s="120">
        <f t="shared" ref="I103:L103" si="63">SUM(I96:I102)</f>
        <v>572.02692863480547</v>
      </c>
      <c r="J103" s="120">
        <f t="shared" si="63"/>
        <v>651.7480143793548</v>
      </c>
      <c r="K103" s="120">
        <f t="shared" si="63"/>
        <v>745.7427250115644</v>
      </c>
      <c r="L103" s="120">
        <f t="shared" si="63"/>
        <v>909.76180087072316</v>
      </c>
    </row>
    <row r="104" spans="1:12" x14ac:dyDescent="0.3">
      <c r="A104" s="21" t="s">
        <v>260</v>
      </c>
      <c r="B104" s="21"/>
      <c r="C104" s="21"/>
      <c r="D104" s="21"/>
      <c r="E104" s="21"/>
      <c r="F104" s="21"/>
      <c r="G104" s="21"/>
      <c r="H104" s="93">
        <f>H103+H94+H85+H76+H67+H58+H49+H40</f>
        <v>6262.6693558765783</v>
      </c>
      <c r="I104" s="93">
        <f t="shared" ref="I104:L104" si="64">I103+I94+I85+I76+I67+I58+I49+I40</f>
        <v>7218.6995776659678</v>
      </c>
      <c r="J104" s="93">
        <f t="shared" si="64"/>
        <v>8224.5759840158971</v>
      </c>
      <c r="K104" s="93">
        <f t="shared" si="64"/>
        <v>9410.1683265330121</v>
      </c>
      <c r="L104" s="93">
        <f t="shared" si="64"/>
        <v>11425.690637194803</v>
      </c>
    </row>
  </sheetData>
  <mergeCells count="2">
    <mergeCell ref="C1:G1"/>
    <mergeCell ref="H1:L1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DE52-081E-4D92-81DD-6F40C29BE165}">
  <dimension ref="A1:S52"/>
  <sheetViews>
    <sheetView showGridLines="0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A59" sqref="A59"/>
    </sheetView>
  </sheetViews>
  <sheetFormatPr defaultRowHeight="14.4" x14ac:dyDescent="0.3"/>
  <cols>
    <col min="1" max="1" width="3.109375" customWidth="1"/>
    <col min="2" max="2" width="23.77734375" bestFit="1" customWidth="1"/>
    <col min="3" max="3" width="17.21875" bestFit="1" customWidth="1"/>
    <col min="4" max="4" width="10.33203125" bestFit="1" customWidth="1"/>
    <col min="5" max="5" width="11.33203125" bestFit="1" customWidth="1"/>
    <col min="6" max="8" width="10.33203125" bestFit="1" customWidth="1"/>
    <col min="9" max="9" width="13.6640625" bestFit="1" customWidth="1"/>
    <col min="10" max="10" width="10.33203125" bestFit="1" customWidth="1"/>
    <col min="11" max="11" width="1.6640625" style="11" customWidth="1"/>
    <col min="12" max="12" width="19.5546875" style="11" bestFit="1" customWidth="1"/>
    <col min="13" max="13" width="10.77734375" style="11" bestFit="1" customWidth="1"/>
    <col min="14" max="14" width="7.33203125" style="11" bestFit="1" customWidth="1"/>
    <col min="15" max="15" width="11.21875" style="11" bestFit="1" customWidth="1"/>
    <col min="16" max="16" width="11.6640625" style="11" bestFit="1" customWidth="1"/>
    <col min="17" max="17" width="8.109375" style="11" bestFit="1" customWidth="1"/>
    <col min="18" max="18" width="11.88671875" style="11" bestFit="1" customWidth="1"/>
    <col min="19" max="19" width="14" style="11" bestFit="1" customWidth="1"/>
    <col min="20" max="16384" width="8.88671875" style="11"/>
  </cols>
  <sheetData>
    <row r="1" spans="1:19" ht="21" x14ac:dyDescent="0.4">
      <c r="A1" s="173" t="s">
        <v>299</v>
      </c>
      <c r="B1" s="174"/>
      <c r="C1" s="218"/>
      <c r="D1" s="218"/>
      <c r="E1" s="218"/>
      <c r="F1" s="218"/>
      <c r="G1" s="245" t="s">
        <v>298</v>
      </c>
      <c r="H1" s="245"/>
      <c r="I1" s="245"/>
      <c r="J1" s="245"/>
      <c r="L1" s="243" t="s">
        <v>311</v>
      </c>
      <c r="M1" s="243"/>
      <c r="N1" s="244"/>
      <c r="O1" s="244"/>
      <c r="P1" s="244"/>
      <c r="Q1" s="244"/>
      <c r="R1" s="244"/>
      <c r="S1" s="244"/>
    </row>
    <row r="2" spans="1:19" x14ac:dyDescent="0.3">
      <c r="A2" s="2" t="s">
        <v>300</v>
      </c>
      <c r="L2" s="116" t="s">
        <v>261</v>
      </c>
      <c r="M2" s="144" t="s">
        <v>277</v>
      </c>
      <c r="N2" s="144" t="s">
        <v>12</v>
      </c>
      <c r="O2" s="194" t="s">
        <v>312</v>
      </c>
      <c r="P2" s="194" t="s">
        <v>313</v>
      </c>
      <c r="Q2" s="194" t="s">
        <v>202</v>
      </c>
      <c r="R2" s="194" t="s">
        <v>314</v>
      </c>
      <c r="S2" s="194" t="s">
        <v>315</v>
      </c>
    </row>
    <row r="3" spans="1:19" x14ac:dyDescent="0.3">
      <c r="B3" t="s">
        <v>301</v>
      </c>
      <c r="C3" s="175">
        <v>46285</v>
      </c>
      <c r="I3" s="1" t="s">
        <v>346</v>
      </c>
      <c r="J3" s="1"/>
      <c r="L3" s="106" t="str">
        <f>'Relative Valuation'!B14</f>
        <v>Infosys</v>
      </c>
      <c r="M3" s="191">
        <f>'Relative Valuation'!F14</f>
        <v>436677.962</v>
      </c>
      <c r="N3" s="191">
        <f>'Relative Valuation'!G14</f>
        <v>8737</v>
      </c>
      <c r="O3" s="196">
        <f>N3/M3</f>
        <v>2.0007879399235633E-2</v>
      </c>
      <c r="P3" s="197">
        <f>N3/SUM(M3:N3)</f>
        <v>1.9615416511311535E-2</v>
      </c>
      <c r="Q3" s="195">
        <v>0.27</v>
      </c>
      <c r="R3" s="106">
        <v>0.71</v>
      </c>
      <c r="S3" s="198">
        <f>R3/(1+O3)*(1-Q3)</f>
        <v>0.50813332962218727</v>
      </c>
    </row>
    <row r="4" spans="1:19" x14ac:dyDescent="0.3">
      <c r="B4" t="s">
        <v>302</v>
      </c>
      <c r="C4" s="175">
        <v>46477</v>
      </c>
      <c r="I4" t="s">
        <v>282</v>
      </c>
      <c r="J4" s="32">
        <f>(I16+I19)*C6</f>
        <v>809478.29392482154</v>
      </c>
      <c r="L4" s="106" t="str">
        <f>'Relative Valuation'!B15</f>
        <v>HCL Technologies</v>
      </c>
      <c r="M4" s="191">
        <f>'Relative Valuation'!F15</f>
        <v>339022.54099999997</v>
      </c>
      <c r="N4" s="191">
        <f>'Relative Valuation'!G15</f>
        <v>5215</v>
      </c>
      <c r="O4" s="196">
        <f t="shared" ref="O4:O8" si="0">N4/M4</f>
        <v>1.5382458005941265E-2</v>
      </c>
      <c r="P4" s="197">
        <f t="shared" ref="P4:P8" si="1">N4/SUM(M4:N4)</f>
        <v>1.514942264824045E-2</v>
      </c>
      <c r="Q4" s="195">
        <v>0.27</v>
      </c>
      <c r="R4" s="106">
        <v>0.77</v>
      </c>
      <c r="S4" s="198">
        <f t="shared" ref="S4:S8" si="2">R4/(1+O4)*(1-Q4)</f>
        <v>0.55358450952942406</v>
      </c>
    </row>
    <row r="5" spans="1:19" x14ac:dyDescent="0.3">
      <c r="B5" t="s">
        <v>202</v>
      </c>
      <c r="C5" s="176">
        <f>'Income Statement'!H32</f>
        <v>0.24482721761571</v>
      </c>
      <c r="I5" s="42" t="s">
        <v>347</v>
      </c>
      <c r="J5" s="104">
        <f>I22*(1+C8)/(C7-C8)</f>
        <v>895561.47350089613</v>
      </c>
      <c r="L5" s="106" t="str">
        <f>'Relative Valuation'!B16</f>
        <v>Wipro</v>
      </c>
      <c r="M5" s="191">
        <f>'Relative Valuation'!F16</f>
        <v>174706.04430000001</v>
      </c>
      <c r="N5" s="191">
        <f>'Relative Valuation'!G16</f>
        <v>20291</v>
      </c>
      <c r="O5" s="196">
        <f>N5/M5</f>
        <v>0.11614366338211458</v>
      </c>
      <c r="P5" s="197">
        <f t="shared" si="1"/>
        <v>0.10405798750868553</v>
      </c>
      <c r="Q5" s="195">
        <v>0.27</v>
      </c>
      <c r="R5" s="106">
        <v>0.68</v>
      </c>
      <c r="S5" s="198">
        <f t="shared" si="2"/>
        <v>0.44474561500068849</v>
      </c>
    </row>
    <row r="6" spans="1:19" x14ac:dyDescent="0.3">
      <c r="B6" t="s">
        <v>282</v>
      </c>
      <c r="C6" s="177">
        <f>'Relative Valuation'!N21</f>
        <v>12.997274717770363</v>
      </c>
      <c r="I6" s="214" t="s">
        <v>290</v>
      </c>
      <c r="J6" s="215">
        <f>AVERAGE(J4:J5)</f>
        <v>852519.88371285889</v>
      </c>
      <c r="L6" s="106" t="str">
        <f>'Relative Valuation'!B17</f>
        <v>Tech Mahindra</v>
      </c>
      <c r="M6" s="191">
        <f>'Relative Valuation'!F17</f>
        <v>150482.09</v>
      </c>
      <c r="N6" s="191">
        <f>'Relative Valuation'!G17</f>
        <v>2186.1999999999998</v>
      </c>
      <c r="O6" s="196">
        <f t="shared" si="0"/>
        <v>1.4527974724433984E-2</v>
      </c>
      <c r="P6" s="197">
        <f t="shared" si="1"/>
        <v>1.4319935069686048E-2</v>
      </c>
      <c r="Q6" s="195">
        <v>0.27</v>
      </c>
      <c r="R6" s="106">
        <v>0.57999999999999996</v>
      </c>
      <c r="S6" s="198">
        <f t="shared" si="2"/>
        <v>0.41733693949149486</v>
      </c>
    </row>
    <row r="7" spans="1:19" x14ac:dyDescent="0.3">
      <c r="B7" t="s">
        <v>303</v>
      </c>
      <c r="C7" s="38">
        <f>M34</f>
        <v>7.4392018047667763E-2</v>
      </c>
      <c r="L7" s="106" t="str">
        <f>'Relative Valuation'!B18</f>
        <v>LTM</v>
      </c>
      <c r="M7" s="191">
        <f>'Relative Valuation'!F18</f>
        <v>126671.213</v>
      </c>
      <c r="N7" s="191">
        <f>'Relative Valuation'!G18</f>
        <v>2310</v>
      </c>
      <c r="O7" s="196">
        <f t="shared" si="0"/>
        <v>1.8236187570099292E-2</v>
      </c>
      <c r="P7" s="197">
        <f t="shared" si="1"/>
        <v>1.7909585018401092E-2</v>
      </c>
      <c r="Q7" s="195">
        <v>0.27</v>
      </c>
      <c r="R7" s="106">
        <v>1.04</v>
      </c>
      <c r="S7" s="198">
        <f t="shared" si="2"/>
        <v>0.7456030430540298</v>
      </c>
    </row>
    <row r="8" spans="1:19" x14ac:dyDescent="0.3">
      <c r="B8" t="s">
        <v>304</v>
      </c>
      <c r="C8" s="179">
        <v>0.03</v>
      </c>
      <c r="L8" s="113" t="str">
        <f>'Relative Valuation'!B19</f>
        <v>Persistent Systems</v>
      </c>
      <c r="M8" s="191">
        <f>'Relative Valuation'!F19</f>
        <v>83731.360000000001</v>
      </c>
      <c r="N8" s="191">
        <f>'Relative Valuation'!G19</f>
        <v>477.45</v>
      </c>
      <c r="O8" s="196">
        <f t="shared" si="0"/>
        <v>5.7021646370009988E-3</v>
      </c>
      <c r="P8" s="197">
        <f t="shared" si="1"/>
        <v>5.6698343083104964E-3</v>
      </c>
      <c r="Q8" s="195">
        <v>0.27</v>
      </c>
      <c r="R8" s="106">
        <v>0.91</v>
      </c>
      <c r="S8" s="198">
        <f t="shared" si="2"/>
        <v>0.66053352906898932</v>
      </c>
    </row>
    <row r="9" spans="1:19" x14ac:dyDescent="0.3">
      <c r="B9" t="s">
        <v>305</v>
      </c>
      <c r="C9" s="178">
        <f>'Relative Valuation'!E23</f>
        <v>361.81</v>
      </c>
      <c r="L9" s="157" t="s">
        <v>290</v>
      </c>
      <c r="M9" s="192"/>
      <c r="N9" s="192"/>
      <c r="O9" s="219">
        <f t="shared" ref="O9:S9" si="3">AVERAGE(O3:O8)</f>
        <v>3.166672128647096E-2</v>
      </c>
      <c r="P9" s="219">
        <f t="shared" si="3"/>
        <v>2.945369684410586E-2</v>
      </c>
      <c r="Q9" s="220">
        <f t="shared" si="3"/>
        <v>0.27</v>
      </c>
      <c r="R9" s="221">
        <f t="shared" si="3"/>
        <v>0.78166666666666673</v>
      </c>
      <c r="S9" s="221">
        <f t="shared" si="3"/>
        <v>0.55498949429446898</v>
      </c>
    </row>
    <row r="10" spans="1:19" x14ac:dyDescent="0.3">
      <c r="L10" s="156" t="s">
        <v>291</v>
      </c>
      <c r="M10" s="193"/>
      <c r="N10" s="193"/>
      <c r="O10" s="219">
        <f t="shared" ref="O10:S10" si="4">MEDIAN(O3:O8)</f>
        <v>1.6809322788020279E-2</v>
      </c>
      <c r="P10" s="219">
        <f t="shared" si="4"/>
        <v>1.6529503833320771E-2</v>
      </c>
      <c r="Q10" s="220">
        <f t="shared" si="4"/>
        <v>0.27</v>
      </c>
      <c r="R10" s="222">
        <f t="shared" si="4"/>
        <v>0.74</v>
      </c>
      <c r="S10" s="222">
        <f t="shared" si="4"/>
        <v>0.53085891957580567</v>
      </c>
    </row>
    <row r="11" spans="1:19" x14ac:dyDescent="0.3">
      <c r="B11" s="1" t="s">
        <v>334</v>
      </c>
      <c r="C11" s="42"/>
      <c r="D11" s="1" t="s">
        <v>337</v>
      </c>
      <c r="E11" s="1">
        <v>2027</v>
      </c>
      <c r="F11" s="1">
        <f>E11+1</f>
        <v>2028</v>
      </c>
      <c r="G11" s="1">
        <f t="shared" ref="G11:I11" si="5">F11+1</f>
        <v>2029</v>
      </c>
      <c r="H11" s="1">
        <f t="shared" si="5"/>
        <v>2030</v>
      </c>
      <c r="I11" s="1">
        <f t="shared" si="5"/>
        <v>2031</v>
      </c>
      <c r="J11" s="1" t="s">
        <v>338</v>
      </c>
      <c r="L11"/>
      <c r="M11" s="32"/>
      <c r="N11" s="32"/>
      <c r="O11" s="146"/>
      <c r="P11" s="146"/>
      <c r="Q11" s="146"/>
      <c r="R11"/>
      <c r="S11"/>
    </row>
    <row r="12" spans="1:19" x14ac:dyDescent="0.3">
      <c r="B12" t="s">
        <v>307</v>
      </c>
      <c r="D12" s="175">
        <f>C3</f>
        <v>46285</v>
      </c>
      <c r="E12" s="175">
        <f>C4</f>
        <v>46477</v>
      </c>
      <c r="F12" s="175">
        <v>46843</v>
      </c>
      <c r="G12" s="175">
        <v>47208</v>
      </c>
      <c r="H12" s="175">
        <v>47573</v>
      </c>
      <c r="I12" s="175">
        <v>47938</v>
      </c>
      <c r="J12" s="175">
        <v>47938</v>
      </c>
      <c r="L12" s="106" t="s">
        <v>263</v>
      </c>
      <c r="M12" s="191">
        <f>'Relative Valuation'!F23</f>
        <v>761610.05</v>
      </c>
      <c r="N12" s="191">
        <f>'Relative Valuation'!G23</f>
        <v>11283</v>
      </c>
      <c r="O12" s="146"/>
      <c r="P12" s="146"/>
      <c r="Q12" s="146"/>
      <c r="R12"/>
      <c r="S12"/>
    </row>
    <row r="13" spans="1:19" x14ac:dyDescent="0.3">
      <c r="B13" t="s">
        <v>335</v>
      </c>
      <c r="E13">
        <v>0</v>
      </c>
      <c r="F13">
        <v>1</v>
      </c>
      <c r="G13">
        <v>2</v>
      </c>
      <c r="H13">
        <v>3</v>
      </c>
      <c r="I13">
        <v>4</v>
      </c>
      <c r="L13" s="146"/>
      <c r="M13" s="146"/>
      <c r="N13" s="146"/>
      <c r="O13" s="146"/>
      <c r="P13" s="146"/>
      <c r="Q13" s="146"/>
      <c r="R13"/>
      <c r="S13"/>
    </row>
    <row r="14" spans="1:19" x14ac:dyDescent="0.3">
      <c r="B14" t="s">
        <v>336</v>
      </c>
      <c r="E14" s="210">
        <f>YEARFRAC(D12,E12)</f>
        <v>0.53055555555555556</v>
      </c>
      <c r="F14">
        <f t="shared" ref="F14:I14" si="6">YEARFRAC(E12,F12)</f>
        <v>1</v>
      </c>
      <c r="G14">
        <f t="shared" si="6"/>
        <v>1</v>
      </c>
      <c r="H14">
        <f t="shared" si="6"/>
        <v>1</v>
      </c>
      <c r="I14">
        <f t="shared" si="6"/>
        <v>1</v>
      </c>
      <c r="J14">
        <f>I14</f>
        <v>1</v>
      </c>
      <c r="L14" s="146"/>
      <c r="M14" s="146"/>
      <c r="N14" s="146"/>
      <c r="O14" s="146"/>
      <c r="P14" s="146"/>
      <c r="Q14" s="146"/>
      <c r="R14"/>
      <c r="S14"/>
    </row>
    <row r="15" spans="1:19" x14ac:dyDescent="0.3">
      <c r="L15" s="199" t="s">
        <v>316</v>
      </c>
      <c r="M15" s="141"/>
      <c r="N15" s="146"/>
      <c r="O15" s="146"/>
      <c r="P15" s="146"/>
      <c r="Q15" s="146"/>
      <c r="R15"/>
      <c r="S15"/>
    </row>
    <row r="16" spans="1:19" x14ac:dyDescent="0.3">
      <c r="B16" s="2" t="s">
        <v>39</v>
      </c>
      <c r="E16" s="14">
        <f>'Income Statement'!H11</f>
        <v>68413.865644123405</v>
      </c>
      <c r="F16" s="14">
        <f>'Income Statement'!I11</f>
        <v>67740.162572334026</v>
      </c>
      <c r="G16" s="14">
        <f>'Income Statement'!J11</f>
        <v>64878.258963734144</v>
      </c>
      <c r="H16" s="14">
        <f>'Income Statement'!K11</f>
        <v>58740.420596498247</v>
      </c>
      <c r="I16" s="14">
        <f>'Income Statement'!L11</f>
        <v>50854.926761625917</v>
      </c>
      <c r="L16" s="1" t="s">
        <v>317</v>
      </c>
      <c r="M16" s="200"/>
      <c r="N16" s="146"/>
      <c r="O16" s="146"/>
      <c r="P16" s="146"/>
      <c r="Q16" s="146"/>
      <c r="R16"/>
      <c r="S16"/>
    </row>
    <row r="17" spans="2:19" x14ac:dyDescent="0.3">
      <c r="B17" s="200" t="s">
        <v>339</v>
      </c>
      <c r="C17" s="42"/>
      <c r="D17" s="42"/>
      <c r="E17" s="212">
        <f>SUM('Income Statement'!H21:H22)</f>
        <v>-17171.902787915627</v>
      </c>
      <c r="F17" s="212">
        <f>SUM('Income Statement'!I21:I22)</f>
        <v>-17006.961939350276</v>
      </c>
      <c r="G17" s="212">
        <f>SUM('Income Statement'!J21:J22)</f>
        <v>-16306.290041772405</v>
      </c>
      <c r="H17" s="212">
        <f>SUM('Income Statement'!K21:K22)</f>
        <v>-14803.580152147089</v>
      </c>
      <c r="I17" s="212">
        <f>SUM('Income Statement'!L21:L22)</f>
        <v>-12872.996637029462</v>
      </c>
      <c r="J17" s="42"/>
      <c r="L17" s="141" t="s">
        <v>318</v>
      </c>
      <c r="M17" s="201">
        <f>P9</f>
        <v>2.945369684410586E-2</v>
      </c>
      <c r="N17" s="146"/>
      <c r="O17" s="146"/>
      <c r="P17" s="146"/>
      <c r="Q17" s="146"/>
      <c r="R17"/>
      <c r="S17"/>
    </row>
    <row r="18" spans="2:19" x14ac:dyDescent="0.3">
      <c r="B18" s="2" t="s">
        <v>340</v>
      </c>
      <c r="E18" s="14">
        <f>SUM(E16:E17)</f>
        <v>51241.962856207778</v>
      </c>
      <c r="F18" s="14">
        <f t="shared" ref="F18:I18" si="7">SUM(F16:F17)</f>
        <v>50733.200632983746</v>
      </c>
      <c r="G18" s="14">
        <f t="shared" si="7"/>
        <v>48571.968921961743</v>
      </c>
      <c r="H18" s="14">
        <f t="shared" si="7"/>
        <v>43936.840444351154</v>
      </c>
      <c r="I18" s="14">
        <f t="shared" si="7"/>
        <v>37981.930124596453</v>
      </c>
      <c r="L18" s="141" t="s">
        <v>319</v>
      </c>
      <c r="M18" s="201">
        <f>1-M17</f>
        <v>0.97054630315589419</v>
      </c>
      <c r="N18" s="146"/>
      <c r="O18" s="146"/>
      <c r="P18" s="146"/>
      <c r="Q18" s="146"/>
      <c r="R18"/>
      <c r="S18"/>
    </row>
    <row r="19" spans="2:19" x14ac:dyDescent="0.3">
      <c r="B19" s="211" t="s">
        <v>341</v>
      </c>
      <c r="E19" s="12">
        <f>-'Income Statement'!H10</f>
        <v>6262.6693558765783</v>
      </c>
      <c r="F19" s="12">
        <f>-'Income Statement'!I10</f>
        <v>7218.6995776659678</v>
      </c>
      <c r="G19" s="12">
        <f>-'Income Statement'!J10</f>
        <v>8224.5759840158971</v>
      </c>
      <c r="H19" s="12">
        <f>-'Income Statement'!K10</f>
        <v>9410.1683265330121</v>
      </c>
      <c r="I19" s="12">
        <f>-'Income Statement'!L10</f>
        <v>11425.690637194803</v>
      </c>
      <c r="L19" s="1" t="s">
        <v>320</v>
      </c>
      <c r="M19" s="200"/>
      <c r="N19" s="146"/>
      <c r="O19" s="146"/>
      <c r="P19" s="146"/>
      <c r="Q19" s="146"/>
      <c r="R19"/>
      <c r="S19"/>
    </row>
    <row r="20" spans="2:19" x14ac:dyDescent="0.3">
      <c r="B20" s="211" t="s">
        <v>342</v>
      </c>
      <c r="E20" s="65">
        <f>'Cash Flows '!H38</f>
        <v>-5668.8641000000007</v>
      </c>
      <c r="F20" s="65">
        <f>'Cash Flows '!I38</f>
        <v>-5981.4201380000004</v>
      </c>
      <c r="G20" s="65">
        <f>'Cash Flows '!J38</f>
        <v>-6277.6490421000017</v>
      </c>
      <c r="H20" s="65">
        <f>'Cash Flows '!K38</f>
        <v>-8176.3395036157517</v>
      </c>
      <c r="I20" s="65">
        <f>'Cash Flows '!L38</f>
        <v>-8522.804992417643</v>
      </c>
      <c r="L20" s="141" t="s">
        <v>277</v>
      </c>
      <c r="M20" s="209">
        <f>M12</f>
        <v>761610.05</v>
      </c>
      <c r="N20" s="146"/>
      <c r="O20" s="146"/>
      <c r="P20" s="146"/>
      <c r="Q20" s="146"/>
      <c r="R20"/>
      <c r="S20"/>
    </row>
    <row r="21" spans="2:19" x14ac:dyDescent="0.3">
      <c r="B21" s="200" t="s">
        <v>343</v>
      </c>
      <c r="C21" s="42"/>
      <c r="D21" s="42"/>
      <c r="E21" s="213">
        <f>SUM('Cash Flows '!H24,'Cash Flows '!H27)</f>
        <v>308.6453561643757</v>
      </c>
      <c r="F21" s="213">
        <f>SUM('Cash Flows '!I24,'Cash Flows '!I27)</f>
        <v>-2849.0130945205565</v>
      </c>
      <c r="G21" s="213">
        <f>SUM('Cash Flows '!J24,'Cash Flows '!J27)</f>
        <v>-2611.7675491534228</v>
      </c>
      <c r="H21" s="213">
        <f>SUM('Cash Flows '!K24,'Cash Flows '!K27)</f>
        <v>-2179.8183974252897</v>
      </c>
      <c r="I21" s="213">
        <f>SUM('Cash Flows '!L24,'Cash Flows '!L27)</f>
        <v>-2286.9700466088379</v>
      </c>
      <c r="J21" s="42"/>
      <c r="L21" s="141" t="s">
        <v>321</v>
      </c>
      <c r="M21" s="209">
        <f>N12</f>
        <v>11283</v>
      </c>
      <c r="N21" s="146"/>
      <c r="O21" s="146"/>
      <c r="P21" s="146"/>
      <c r="Q21" s="146"/>
      <c r="R21"/>
      <c r="S21"/>
    </row>
    <row r="22" spans="2:19" x14ac:dyDescent="0.3">
      <c r="B22" s="2" t="s">
        <v>344</v>
      </c>
      <c r="E22" s="14">
        <f>SUM(E18:E21)</f>
        <v>52144.413468248735</v>
      </c>
      <c r="F22" s="14">
        <f t="shared" ref="F22:I22" si="8">SUM(F18:F21)</f>
        <v>49121.46697812916</v>
      </c>
      <c r="G22" s="14">
        <f t="shared" si="8"/>
        <v>47907.128314724214</v>
      </c>
      <c r="H22" s="14">
        <f t="shared" si="8"/>
        <v>42990.850869843125</v>
      </c>
      <c r="I22" s="14">
        <f t="shared" si="8"/>
        <v>38597.845722764774</v>
      </c>
      <c r="J22" s="215">
        <f>J6</f>
        <v>852519.88371285889</v>
      </c>
      <c r="L22" s="141" t="s">
        <v>322</v>
      </c>
      <c r="M22" s="201">
        <f>M21/M20</f>
        <v>1.4814667952451519E-2</v>
      </c>
      <c r="N22" s="146"/>
      <c r="O22" s="146"/>
      <c r="P22" s="146"/>
      <c r="Q22" s="146"/>
      <c r="R22"/>
      <c r="S22"/>
    </row>
    <row r="23" spans="2:19" x14ac:dyDescent="0.3">
      <c r="B23" s="141"/>
      <c r="L23" s="202" t="s">
        <v>323</v>
      </c>
      <c r="M23" s="200"/>
      <c r="N23" s="146"/>
      <c r="O23" s="146"/>
      <c r="P23" s="146"/>
      <c r="Q23" s="146"/>
      <c r="R23"/>
      <c r="S23"/>
    </row>
    <row r="24" spans="2:19" x14ac:dyDescent="0.3">
      <c r="B24" s="2" t="s">
        <v>345</v>
      </c>
      <c r="E24" s="34">
        <f>E22*E14</f>
        <v>27665.508256765301</v>
      </c>
      <c r="F24" s="34">
        <f t="shared" ref="F24:J24" si="9">F22*F14</f>
        <v>49121.46697812916</v>
      </c>
      <c r="G24" s="34">
        <f t="shared" si="9"/>
        <v>47907.128314724214</v>
      </c>
      <c r="H24" s="34">
        <f t="shared" si="9"/>
        <v>42990.850869843125</v>
      </c>
      <c r="I24" s="34">
        <f t="shared" si="9"/>
        <v>38597.845722764774</v>
      </c>
      <c r="J24" s="34">
        <f t="shared" si="9"/>
        <v>852519.88371285889</v>
      </c>
      <c r="L24" s="141" t="s">
        <v>324</v>
      </c>
      <c r="M24" s="203">
        <f>'Balance Sheet'!G59</f>
        <v>7.525997581620314E-2</v>
      </c>
      <c r="N24" s="146"/>
      <c r="O24" s="146"/>
      <c r="P24" s="146"/>
      <c r="Q24" s="146"/>
      <c r="R24"/>
      <c r="S24"/>
    </row>
    <row r="25" spans="2:19" x14ac:dyDescent="0.3">
      <c r="L25" s="141" t="s">
        <v>202</v>
      </c>
      <c r="M25" s="204">
        <f>'Income Statement'!H32</f>
        <v>0.24482721761571</v>
      </c>
      <c r="N25" s="146"/>
      <c r="O25" s="146"/>
      <c r="P25" s="146"/>
      <c r="Q25" s="146"/>
      <c r="R25"/>
      <c r="S25"/>
    </row>
    <row r="26" spans="2:19" x14ac:dyDescent="0.3">
      <c r="B26" s="1" t="s">
        <v>348</v>
      </c>
      <c r="C26" s="42"/>
      <c r="D26" s="42"/>
      <c r="E26" s="42"/>
      <c r="L26" s="141" t="s">
        <v>325</v>
      </c>
      <c r="M26" s="201">
        <f>M24*(1-M25)</f>
        <v>5.6834285339296499E-2</v>
      </c>
      <c r="N26" s="146"/>
      <c r="O26" s="146"/>
      <c r="P26" s="146"/>
      <c r="Q26" s="146"/>
      <c r="R26"/>
      <c r="S26"/>
    </row>
    <row r="27" spans="2:19" x14ac:dyDescent="0.3">
      <c r="B27" s="211" t="s">
        <v>349</v>
      </c>
      <c r="E27" s="32">
        <f>XNPV(C7,E24:J24,E12:J12)</f>
        <v>818178.68697776622</v>
      </c>
      <c r="L27" s="202" t="s">
        <v>326</v>
      </c>
      <c r="M27" s="200"/>
      <c r="N27" s="146"/>
      <c r="O27" s="146"/>
      <c r="P27" s="146"/>
      <c r="Q27" s="146"/>
      <c r="R27"/>
      <c r="S27"/>
    </row>
    <row r="28" spans="2:19" x14ac:dyDescent="0.3">
      <c r="B28" s="211" t="s">
        <v>350</v>
      </c>
      <c r="E28" s="32">
        <f>SUM('Balance Sheet'!H4:H5)</f>
        <v>27581.708001344814</v>
      </c>
      <c r="L28" s="141" t="s">
        <v>327</v>
      </c>
      <c r="M28" s="205">
        <v>6.9000000000000006E-2</v>
      </c>
      <c r="N28" s="146"/>
      <c r="O28" s="146"/>
      <c r="P28" s="146"/>
      <c r="Q28" s="146"/>
      <c r="R28"/>
      <c r="S28"/>
    </row>
    <row r="29" spans="2:19" x14ac:dyDescent="0.3">
      <c r="B29" s="211" t="s">
        <v>351</v>
      </c>
      <c r="E29" s="64">
        <f>-SUM('Balance Sheet'!H30,'Balance Sheet'!H41)</f>
        <v>-11283</v>
      </c>
      <c r="L29" s="141" t="s">
        <v>328</v>
      </c>
      <c r="M29" s="203">
        <f>'Equity Return'!F5</f>
        <v>8.3998188341444235E-2</v>
      </c>
      <c r="N29" s="146"/>
      <c r="O29" s="146"/>
      <c r="P29" s="146"/>
      <c r="Q29" s="146"/>
      <c r="R29"/>
      <c r="S29"/>
    </row>
    <row r="30" spans="2:19" x14ac:dyDescent="0.3">
      <c r="B30" s="200" t="s">
        <v>352</v>
      </c>
      <c r="C30" s="42"/>
      <c r="D30" s="42"/>
      <c r="E30" s="104">
        <v>0</v>
      </c>
      <c r="L30" s="141" t="s">
        <v>329</v>
      </c>
      <c r="M30" s="201">
        <f>M29-M28</f>
        <v>1.499818834144423E-2</v>
      </c>
      <c r="N30" s="146"/>
      <c r="O30" s="146"/>
      <c r="P30" s="146"/>
      <c r="Q30" s="146"/>
      <c r="R30"/>
      <c r="S30"/>
    </row>
    <row r="31" spans="2:19" x14ac:dyDescent="0.3">
      <c r="B31" s="2" t="s">
        <v>295</v>
      </c>
      <c r="E31" s="34">
        <f>SUM(E27:E30)</f>
        <v>834477.39497911104</v>
      </c>
      <c r="L31" s="200" t="s">
        <v>330</v>
      </c>
      <c r="M31" s="206">
        <f>S10/(1+M22)*(1-M25)</f>
        <v>0.39503785273269487</v>
      </c>
      <c r="N31" s="146"/>
      <c r="O31" s="146"/>
      <c r="P31" s="146"/>
      <c r="Q31" s="146"/>
      <c r="R31" s="146"/>
      <c r="S31" s="146"/>
    </row>
    <row r="32" spans="2:19" x14ac:dyDescent="0.3">
      <c r="L32" s="141" t="s">
        <v>326</v>
      </c>
      <c r="M32" s="201">
        <f>M28+M31*M30</f>
        <v>7.4924852117284668E-2</v>
      </c>
      <c r="N32" s="146"/>
      <c r="O32" s="146"/>
      <c r="P32" s="146"/>
      <c r="Q32" s="146"/>
      <c r="R32" s="146"/>
      <c r="S32" s="146"/>
    </row>
    <row r="33" spans="1:19" x14ac:dyDescent="0.3">
      <c r="B33" s="2" t="s">
        <v>353</v>
      </c>
      <c r="E33" s="216">
        <f>E31/C9</f>
        <v>2306.3967136870488</v>
      </c>
      <c r="L33" s="184"/>
      <c r="M33" s="141"/>
      <c r="N33" s="146"/>
      <c r="O33" s="146"/>
      <c r="P33" s="146"/>
      <c r="Q33" s="146"/>
      <c r="R33" s="146"/>
      <c r="S33" s="146"/>
    </row>
    <row r="34" spans="1:19" x14ac:dyDescent="0.3">
      <c r="B34" t="s">
        <v>354</v>
      </c>
      <c r="E34" s="12">
        <v>2130</v>
      </c>
      <c r="L34" s="207" t="s">
        <v>316</v>
      </c>
      <c r="M34" s="208">
        <f>(M17*M26)+(M18*M32)</f>
        <v>7.4392018047667763E-2</v>
      </c>
      <c r="N34" s="146"/>
      <c r="O34" s="146"/>
      <c r="P34" s="146"/>
      <c r="Q34" s="146"/>
      <c r="R34" s="146"/>
      <c r="S34" s="146"/>
    </row>
    <row r="35" spans="1:19" x14ac:dyDescent="0.3">
      <c r="B35" s="2" t="s">
        <v>355</v>
      </c>
      <c r="E35" s="217">
        <f>E33/E34-1</f>
        <v>8.2815358538520512E-2</v>
      </c>
    </row>
    <row r="36" spans="1:19" x14ac:dyDescent="0.3">
      <c r="B36" s="2"/>
      <c r="E36" s="217"/>
    </row>
    <row r="37" spans="1:19" x14ac:dyDescent="0.3">
      <c r="A37" s="224" t="s">
        <v>356</v>
      </c>
      <c r="B37" s="223"/>
      <c r="C37" s="223"/>
      <c r="D37" s="223"/>
      <c r="E37" s="223"/>
      <c r="F37" s="223"/>
      <c r="G37" s="223"/>
      <c r="H37" s="223"/>
      <c r="I37" s="223"/>
      <c r="J37" s="223"/>
    </row>
    <row r="38" spans="1:19" x14ac:dyDescent="0.3">
      <c r="F38" s="225" t="s">
        <v>357</v>
      </c>
      <c r="G38" s="225"/>
      <c r="H38" s="225"/>
      <c r="I38" s="225"/>
      <c r="J38" s="225"/>
    </row>
    <row r="39" spans="1:19" x14ac:dyDescent="0.3">
      <c r="E39" s="94">
        <f>E33</f>
        <v>2306.3967136870488</v>
      </c>
      <c r="F39" s="226">
        <f>G39-2.5</f>
        <v>7.9972747177703631</v>
      </c>
      <c r="G39" s="226">
        <f>H39-2.5</f>
        <v>10.497274717770363</v>
      </c>
      <c r="H39" s="226">
        <v>12.997274717770363</v>
      </c>
      <c r="I39" s="226">
        <f>H39+2.5</f>
        <v>15.497274717770363</v>
      </c>
      <c r="J39" s="226">
        <f>I39+2.5</f>
        <v>17.997274717770363</v>
      </c>
    </row>
    <row r="40" spans="1:19" x14ac:dyDescent="0.3">
      <c r="D40" s="241" t="s">
        <v>303</v>
      </c>
      <c r="E40" s="227">
        <v>5.4399999999999997E-2</v>
      </c>
      <c r="F40" s="231">
        <f t="dataTable" ref="F40:J44" dt2D="1" dtr="1" r1="C6" r2="C7" ca="1"/>
        <v>2935.2244949348319</v>
      </c>
      <c r="G40" s="232">
        <v>3109.2839977248946</v>
      </c>
      <c r="H40" s="232">
        <v>3283.3435005149577</v>
      </c>
      <c r="I40" s="232">
        <v>3457.4030033050208</v>
      </c>
      <c r="J40" s="232">
        <v>3631.462506095083</v>
      </c>
    </row>
    <row r="41" spans="1:19" x14ac:dyDescent="0.3">
      <c r="D41" s="241"/>
      <c r="E41" s="227">
        <v>6.4399999999999999E-2</v>
      </c>
      <c r="F41" s="228">
        <v>2327.7117071574357</v>
      </c>
      <c r="G41" s="229">
        <v>2495.3173486754945</v>
      </c>
      <c r="H41" s="229">
        <v>2662.9229901935528</v>
      </c>
      <c r="I41" s="229">
        <v>2830.5286317116111</v>
      </c>
      <c r="J41" s="84">
        <v>2998.1342732296698</v>
      </c>
    </row>
    <row r="42" spans="1:19" x14ac:dyDescent="0.3">
      <c r="D42" s="241"/>
      <c r="E42" s="227">
        <v>7.4392018047667763E-2</v>
      </c>
      <c r="F42" s="228">
        <v>1983.4908871191053</v>
      </c>
      <c r="G42" s="229">
        <v>2144.9438004030767</v>
      </c>
      <c r="H42" s="230">
        <v>2306.3967136870488</v>
      </c>
      <c r="I42" s="229">
        <v>2467.8496269710204</v>
      </c>
      <c r="J42" s="84">
        <v>2629.302540254992</v>
      </c>
    </row>
    <row r="43" spans="1:19" x14ac:dyDescent="0.3">
      <c r="D43" s="241"/>
      <c r="E43" s="227">
        <v>8.4400000000000003E-2</v>
      </c>
      <c r="F43" s="228">
        <v>1757.3974612723805</v>
      </c>
      <c r="G43" s="229">
        <v>1912.9681988816692</v>
      </c>
      <c r="H43" s="229">
        <v>2068.5389364909579</v>
      </c>
      <c r="I43" s="229">
        <v>2224.109674100247</v>
      </c>
      <c r="J43" s="84">
        <v>2379.6804117095362</v>
      </c>
    </row>
    <row r="44" spans="1:19" x14ac:dyDescent="0.3">
      <c r="D44" s="241"/>
      <c r="E44" s="227">
        <v>9.4399999999999998E-2</v>
      </c>
      <c r="F44" s="228">
        <v>1595.29547427736</v>
      </c>
      <c r="G44" s="84">
        <v>1745.253835891956</v>
      </c>
      <c r="H44" s="84">
        <v>1895.212197506552</v>
      </c>
      <c r="I44" s="84">
        <v>2045.170559121148</v>
      </c>
      <c r="J44" s="84">
        <v>2195.128920735744</v>
      </c>
    </row>
    <row r="46" spans="1:19" x14ac:dyDescent="0.3">
      <c r="F46" s="242" t="s">
        <v>358</v>
      </c>
      <c r="G46" s="242"/>
      <c r="H46" s="242"/>
      <c r="I46" s="242"/>
      <c r="J46" s="242"/>
    </row>
    <row r="47" spans="1:19" x14ac:dyDescent="0.3">
      <c r="E47" s="94">
        <f>E33</f>
        <v>2306.3967136870488</v>
      </c>
      <c r="F47" s="217">
        <v>0.02</v>
      </c>
      <c r="G47" s="217">
        <v>2.5000000000000001E-2</v>
      </c>
      <c r="H47" s="217">
        <v>0.03</v>
      </c>
      <c r="I47" s="217">
        <f>3.5%</f>
        <v>3.5000000000000003E-2</v>
      </c>
      <c r="J47" s="217">
        <v>0.04</v>
      </c>
    </row>
    <row r="48" spans="1:19" x14ac:dyDescent="0.3">
      <c r="D48" s="241" t="s">
        <v>303</v>
      </c>
      <c r="E48" s="233">
        <v>5.4400000000000004E-2</v>
      </c>
      <c r="F48" s="231">
        <f t="dataTable" ref="F48:J52" dt2D="1" dtr="1" r1="C8" r2="C7"/>
        <v>2741.3113904032771</v>
      </c>
      <c r="G48" s="232">
        <v>2966.2362796332941</v>
      </c>
      <c r="H48" s="232">
        <v>3283.3435005149563</v>
      </c>
      <c r="I48" s="232">
        <v>3763.9080517479933</v>
      </c>
      <c r="J48" s="232">
        <v>4578.1979857817487</v>
      </c>
    </row>
    <row r="49" spans="4:10" x14ac:dyDescent="0.3">
      <c r="D49" s="241"/>
      <c r="E49" s="233">
        <v>6.4399999999999999E-2</v>
      </c>
      <c r="F49" s="228">
        <v>2373.3738804848153</v>
      </c>
      <c r="G49" s="234">
        <v>2499.7760299008123</v>
      </c>
      <c r="H49" s="234">
        <v>2662.9229901935528</v>
      </c>
      <c r="I49" s="234">
        <v>2881.5621138511715</v>
      </c>
      <c r="J49" s="84">
        <v>3189.8074357291248</v>
      </c>
    </row>
    <row r="50" spans="4:10" x14ac:dyDescent="0.3">
      <c r="D50" s="241"/>
      <c r="E50" s="233">
        <v>7.4400000000000008E-2</v>
      </c>
      <c r="F50" s="228">
        <v>2128.1424690723939</v>
      </c>
      <c r="G50" s="234">
        <v>2208.1467589209042</v>
      </c>
      <c r="H50" s="230">
        <v>2306.1700329695304</v>
      </c>
      <c r="I50" s="234">
        <v>2429.0723105837974</v>
      </c>
      <c r="J50" s="84">
        <v>2587.7019944812819</v>
      </c>
    </row>
    <row r="51" spans="4:10" x14ac:dyDescent="0.3">
      <c r="D51" s="241"/>
      <c r="E51" s="233">
        <v>8.4399999999999989E-2</v>
      </c>
      <c r="F51" s="228">
        <v>1949.1668456454411</v>
      </c>
      <c r="G51" s="234">
        <v>2003.8288131706609</v>
      </c>
      <c r="H51" s="234">
        <v>2068.5389364909583</v>
      </c>
      <c r="I51" s="234">
        <v>2146.3482750582793</v>
      </c>
      <c r="J51" s="84">
        <v>2241.6822394290512</v>
      </c>
    </row>
    <row r="52" spans="4:10" x14ac:dyDescent="0.3">
      <c r="D52" s="241"/>
      <c r="E52" s="233">
        <v>9.4E-2</v>
      </c>
      <c r="F52" s="228">
        <v>1815.2839460961197</v>
      </c>
      <c r="G52" s="84">
        <v>1855.1664884670195</v>
      </c>
      <c r="H52" s="84">
        <v>1901.2806780833719</v>
      </c>
      <c r="I52" s="84">
        <v>1955.2108320414793</v>
      </c>
      <c r="J52" s="84">
        <v>2019.1280515473841</v>
      </c>
    </row>
  </sheetData>
  <mergeCells count="7">
    <mergeCell ref="R1:S1"/>
    <mergeCell ref="G1:J1"/>
    <mergeCell ref="D40:D44"/>
    <mergeCell ref="F46:J46"/>
    <mergeCell ref="D48:D52"/>
    <mergeCell ref="L1:M1"/>
    <mergeCell ref="N1:Q1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B418-A58F-472F-B86F-4570D7FF760C}">
  <dimension ref="A1:O32"/>
  <sheetViews>
    <sheetView showGridLines="0" topLeftCell="A14" workbookViewId="0">
      <selection activeCell="A20" sqref="A20"/>
    </sheetView>
  </sheetViews>
  <sheetFormatPr defaultRowHeight="14.4" x14ac:dyDescent="0.3"/>
  <cols>
    <col min="1" max="1" width="3.109375" customWidth="1"/>
    <col min="2" max="2" width="22.109375" customWidth="1"/>
    <col min="3" max="3" width="15" bestFit="1" customWidth="1"/>
    <col min="4" max="4" width="9.77734375" bestFit="1" customWidth="1"/>
    <col min="5" max="5" width="13.44140625" bestFit="1" customWidth="1"/>
    <col min="6" max="6" width="10.77734375" bestFit="1" customWidth="1"/>
    <col min="7" max="7" width="11.5546875" bestFit="1" customWidth="1"/>
    <col min="8" max="8" width="8" bestFit="1" customWidth="1"/>
    <col min="9" max="9" width="17.33203125" bestFit="1" customWidth="1"/>
    <col min="10" max="10" width="9" bestFit="1" customWidth="1"/>
    <col min="11" max="12" width="9.21875" customWidth="1"/>
    <col min="13" max="13" width="8.88671875" style="146"/>
    <col min="14" max="14" width="10.21875" style="146" bestFit="1" customWidth="1"/>
    <col min="15" max="15" width="5.44140625" style="146" bestFit="1" customWidth="1"/>
    <col min="16" max="16384" width="8.88671875" style="11"/>
  </cols>
  <sheetData>
    <row r="1" spans="1:15" ht="21" x14ac:dyDescent="0.4">
      <c r="A1" s="147" t="s">
        <v>284</v>
      </c>
      <c r="B1" s="148"/>
      <c r="C1" s="149"/>
      <c r="D1" s="150"/>
      <c r="E1" s="150"/>
      <c r="F1" s="150"/>
      <c r="G1" s="150"/>
      <c r="H1" s="150"/>
      <c r="I1" s="150"/>
      <c r="J1" s="150"/>
      <c r="K1" s="150" t="s">
        <v>296</v>
      </c>
      <c r="L1" s="150"/>
      <c r="M1" s="150"/>
      <c r="N1" s="150"/>
      <c r="O1" s="150"/>
    </row>
    <row r="2" spans="1:15" x14ac:dyDescent="0.3">
      <c r="A2" s="140" t="s">
        <v>270</v>
      </c>
      <c r="M2"/>
      <c r="N2"/>
      <c r="O2"/>
    </row>
    <row r="3" spans="1:15" x14ac:dyDescent="0.3">
      <c r="A3" s="19"/>
      <c r="B3" s="168" t="s">
        <v>261</v>
      </c>
      <c r="C3" s="169" t="s">
        <v>262</v>
      </c>
      <c r="D3" s="169" t="s">
        <v>292</v>
      </c>
      <c r="E3" s="169" t="s">
        <v>361</v>
      </c>
      <c r="F3" s="169" t="s">
        <v>12</v>
      </c>
      <c r="G3" s="169" t="s">
        <v>278</v>
      </c>
      <c r="H3" s="169" t="s">
        <v>280</v>
      </c>
      <c r="I3" s="169" t="s">
        <v>359</v>
      </c>
      <c r="J3" s="170" t="s">
        <v>360</v>
      </c>
      <c r="M3"/>
      <c r="N3"/>
      <c r="O3"/>
    </row>
    <row r="4" spans="1:15" x14ac:dyDescent="0.3">
      <c r="B4" s="171" t="s">
        <v>263</v>
      </c>
      <c r="C4" s="96">
        <v>2105</v>
      </c>
      <c r="D4" s="96">
        <v>361.81</v>
      </c>
      <c r="E4" s="96">
        <v>761607.42</v>
      </c>
      <c r="F4" s="96">
        <v>11283</v>
      </c>
      <c r="G4" s="96">
        <v>12908</v>
      </c>
      <c r="H4" s="96">
        <v>275859</v>
      </c>
      <c r="I4" s="96">
        <v>76450</v>
      </c>
      <c r="J4" s="172">
        <v>53690.47</v>
      </c>
      <c r="M4"/>
      <c r="N4"/>
      <c r="O4"/>
    </row>
    <row r="5" spans="1:15" x14ac:dyDescent="0.3">
      <c r="B5" s="171" t="s">
        <v>264</v>
      </c>
      <c r="C5" s="96">
        <v>1051.4000000000001</v>
      </c>
      <c r="D5" s="96">
        <v>415.33</v>
      </c>
      <c r="E5" s="96">
        <v>426682.56</v>
      </c>
      <c r="F5" s="96">
        <v>8737</v>
      </c>
      <c r="G5" s="96">
        <v>22201</v>
      </c>
      <c r="H5" s="96">
        <v>184582</v>
      </c>
      <c r="I5" s="96">
        <v>46226</v>
      </c>
      <c r="J5" s="172">
        <v>31174.41</v>
      </c>
      <c r="M5"/>
      <c r="N5"/>
      <c r="O5"/>
    </row>
    <row r="6" spans="1:15" x14ac:dyDescent="0.3">
      <c r="B6" s="171" t="s">
        <v>265</v>
      </c>
      <c r="C6" s="96">
        <v>1249.3</v>
      </c>
      <c r="D6" s="96">
        <v>271.37</v>
      </c>
      <c r="E6" s="96">
        <v>339018.18</v>
      </c>
      <c r="F6" s="96">
        <v>5215</v>
      </c>
      <c r="G6" s="96">
        <v>23425</v>
      </c>
      <c r="H6" s="96">
        <v>134374</v>
      </c>
      <c r="I6" s="96">
        <v>28122</v>
      </c>
      <c r="J6" s="172">
        <v>18130.330000000002</v>
      </c>
      <c r="M6"/>
      <c r="N6"/>
      <c r="O6"/>
    </row>
    <row r="7" spans="1:15" x14ac:dyDescent="0.3">
      <c r="B7" s="171" t="s">
        <v>266</v>
      </c>
      <c r="C7" s="96">
        <v>166.83</v>
      </c>
      <c r="D7" s="96">
        <v>1047.21</v>
      </c>
      <c r="E7" s="96">
        <v>165244.04</v>
      </c>
      <c r="F7" s="96">
        <v>20291</v>
      </c>
      <c r="G7" s="96">
        <v>10555.5</v>
      </c>
      <c r="H7" s="96">
        <v>94968</v>
      </c>
      <c r="I7" s="96">
        <v>21671.3</v>
      </c>
      <c r="J7" s="172">
        <v>13219</v>
      </c>
      <c r="M7"/>
      <c r="N7"/>
      <c r="O7"/>
    </row>
    <row r="8" spans="1:15" x14ac:dyDescent="0.3">
      <c r="B8" s="171" t="s">
        <v>267</v>
      </c>
      <c r="C8" s="96">
        <v>1537.1</v>
      </c>
      <c r="D8" s="96">
        <v>97.9</v>
      </c>
      <c r="E8" s="96">
        <v>150656.35999999999</v>
      </c>
      <c r="F8" s="96">
        <v>2186.1999999999998</v>
      </c>
      <c r="G8" s="96">
        <v>5105.3999999999996</v>
      </c>
      <c r="H8" s="96">
        <v>59176.1</v>
      </c>
      <c r="I8" s="96">
        <v>9056.9</v>
      </c>
      <c r="J8" s="172">
        <v>5320.57</v>
      </c>
      <c r="M8"/>
      <c r="N8"/>
      <c r="O8"/>
    </row>
    <row r="9" spans="1:15" x14ac:dyDescent="0.3">
      <c r="B9" s="171" t="s">
        <v>268</v>
      </c>
      <c r="C9" s="96">
        <v>4275.1000000000004</v>
      </c>
      <c r="D9" s="96">
        <v>29.63</v>
      </c>
      <c r="E9" s="96">
        <v>126808.58</v>
      </c>
      <c r="F9" s="96">
        <v>2310</v>
      </c>
      <c r="G9" s="96">
        <v>2812.4</v>
      </c>
      <c r="H9" s="96">
        <v>44075</v>
      </c>
      <c r="I9" s="96">
        <v>8649.6</v>
      </c>
      <c r="J9" s="172">
        <v>5609.89</v>
      </c>
      <c r="M9"/>
      <c r="N9"/>
      <c r="O9"/>
    </row>
    <row r="10" spans="1:15" x14ac:dyDescent="0.3">
      <c r="B10" s="151" t="s">
        <v>269</v>
      </c>
      <c r="C10" s="42">
        <v>5416</v>
      </c>
      <c r="D10" s="42">
        <v>15.46</v>
      </c>
      <c r="E10" s="42">
        <v>85437.4</v>
      </c>
      <c r="F10" s="42">
        <v>477.45</v>
      </c>
      <c r="G10" s="42">
        <v>1218.25</v>
      </c>
      <c r="H10" s="42">
        <v>15718.1</v>
      </c>
      <c r="I10" s="42">
        <v>2970.2</v>
      </c>
      <c r="J10" s="152">
        <v>1990.12</v>
      </c>
      <c r="M10"/>
      <c r="N10"/>
      <c r="O10"/>
    </row>
    <row r="11" spans="1:15" x14ac:dyDescent="0.3">
      <c r="M11"/>
      <c r="N11"/>
      <c r="O11"/>
    </row>
    <row r="12" spans="1:15" x14ac:dyDescent="0.3">
      <c r="B12" s="145"/>
      <c r="C12" s="142"/>
      <c r="D12" s="246" t="s">
        <v>271</v>
      </c>
      <c r="E12" s="246"/>
      <c r="F12" s="246"/>
      <c r="G12" s="246"/>
      <c r="H12" s="246"/>
      <c r="I12" s="246"/>
      <c r="J12" s="246" t="s">
        <v>272</v>
      </c>
      <c r="K12" s="246"/>
      <c r="L12" s="246"/>
      <c r="M12" s="246" t="s">
        <v>273</v>
      </c>
      <c r="N12" s="246"/>
      <c r="O12" s="246"/>
    </row>
    <row r="13" spans="1:15" x14ac:dyDescent="0.3">
      <c r="B13" s="116" t="s">
        <v>261</v>
      </c>
      <c r="C13" s="116" t="s">
        <v>274</v>
      </c>
      <c r="D13" s="143" t="s">
        <v>275</v>
      </c>
      <c r="E13" s="143" t="s">
        <v>276</v>
      </c>
      <c r="F13" s="144" t="s">
        <v>277</v>
      </c>
      <c r="G13" s="144" t="s">
        <v>12</v>
      </c>
      <c r="H13" s="143" t="s">
        <v>278</v>
      </c>
      <c r="I13" s="143" t="s">
        <v>279</v>
      </c>
      <c r="J13" s="116" t="s">
        <v>280</v>
      </c>
      <c r="K13" s="116" t="s">
        <v>38</v>
      </c>
      <c r="L13" s="116" t="s">
        <v>100</v>
      </c>
      <c r="M13" s="143" t="s">
        <v>281</v>
      </c>
      <c r="N13" s="143" t="s">
        <v>282</v>
      </c>
      <c r="O13" s="143" t="s">
        <v>283</v>
      </c>
    </row>
    <row r="14" spans="1:15" x14ac:dyDescent="0.3">
      <c r="B14" s="106" t="str">
        <f t="shared" ref="B14:B19" si="0">B5</f>
        <v>Infosys</v>
      </c>
      <c r="C14" s="106" t="s">
        <v>285</v>
      </c>
      <c r="D14" s="106">
        <f>C5</f>
        <v>1051.4000000000001</v>
      </c>
      <c r="E14" s="106">
        <f>D5</f>
        <v>415.33</v>
      </c>
      <c r="F14" s="108">
        <f>D14*E14</f>
        <v>436677.962</v>
      </c>
      <c r="G14" s="108">
        <f t="shared" ref="G14:G19" si="1">F5</f>
        <v>8737</v>
      </c>
      <c r="H14" s="108">
        <f t="shared" ref="H14:H19" si="2">G5</f>
        <v>22201</v>
      </c>
      <c r="I14" s="107">
        <f>SUM(F14,G14)-H14</f>
        <v>423213.962</v>
      </c>
      <c r="J14" s="108">
        <f t="shared" ref="J14:J19" si="3">H5</f>
        <v>184582</v>
      </c>
      <c r="K14" s="108">
        <f t="shared" ref="K14:K19" si="4">I5</f>
        <v>46226</v>
      </c>
      <c r="L14" s="108">
        <f t="shared" ref="L14:L19" si="5">J5</f>
        <v>31174.41</v>
      </c>
      <c r="M14" s="160">
        <f t="shared" ref="M14:M19" si="6">I14/J14</f>
        <v>2.2928235797640073</v>
      </c>
      <c r="N14" s="160">
        <f>I14/K14</f>
        <v>9.1553230216761126</v>
      </c>
      <c r="O14" s="160">
        <f>F14/L14</f>
        <v>14.007577432900895</v>
      </c>
    </row>
    <row r="15" spans="1:15" x14ac:dyDescent="0.3">
      <c r="B15" s="106" t="str">
        <f t="shared" si="0"/>
        <v>HCL Technologies</v>
      </c>
      <c r="C15" s="106" t="s">
        <v>286</v>
      </c>
      <c r="D15" s="106">
        <f t="shared" ref="D15:E19" si="7">C6</f>
        <v>1249.3</v>
      </c>
      <c r="E15" s="106">
        <f t="shared" si="7"/>
        <v>271.37</v>
      </c>
      <c r="F15" s="108">
        <f t="shared" ref="F15:F19" si="8">D15*E15</f>
        <v>339022.54099999997</v>
      </c>
      <c r="G15" s="108">
        <f t="shared" si="1"/>
        <v>5215</v>
      </c>
      <c r="H15" s="108">
        <f t="shared" si="2"/>
        <v>23425</v>
      </c>
      <c r="I15" s="107">
        <f t="shared" ref="I15:I19" si="9">SUM(F15,G15)-H15</f>
        <v>320812.54099999997</v>
      </c>
      <c r="J15" s="108">
        <f t="shared" si="3"/>
        <v>134374</v>
      </c>
      <c r="K15" s="108">
        <f t="shared" si="4"/>
        <v>28122</v>
      </c>
      <c r="L15" s="108">
        <f t="shared" si="5"/>
        <v>18130.330000000002</v>
      </c>
      <c r="M15" s="160">
        <f t="shared" si="6"/>
        <v>2.3874599327250805</v>
      </c>
      <c r="N15" s="160">
        <f t="shared" ref="N15:N19" si="10">I15/K15</f>
        <v>11.407884965507431</v>
      </c>
      <c r="O15" s="160">
        <f t="shared" ref="O15:O19" si="11">F15/L15</f>
        <v>18.699193064880777</v>
      </c>
    </row>
    <row r="16" spans="1:15" x14ac:dyDescent="0.3">
      <c r="B16" s="106" t="str">
        <f t="shared" si="0"/>
        <v>Wipro</v>
      </c>
      <c r="C16" s="106" t="s">
        <v>287</v>
      </c>
      <c r="D16" s="106">
        <f t="shared" si="7"/>
        <v>166.83</v>
      </c>
      <c r="E16" s="106">
        <f t="shared" si="7"/>
        <v>1047.21</v>
      </c>
      <c r="F16" s="108">
        <f t="shared" si="8"/>
        <v>174706.04430000001</v>
      </c>
      <c r="G16" s="108">
        <f t="shared" si="1"/>
        <v>20291</v>
      </c>
      <c r="H16" s="108">
        <f t="shared" si="2"/>
        <v>10555.5</v>
      </c>
      <c r="I16" s="107">
        <f t="shared" si="9"/>
        <v>184441.54430000001</v>
      </c>
      <c r="J16" s="108">
        <f t="shared" si="3"/>
        <v>94968</v>
      </c>
      <c r="K16" s="108">
        <f t="shared" si="4"/>
        <v>21671.3</v>
      </c>
      <c r="L16" s="108">
        <f t="shared" si="5"/>
        <v>13219</v>
      </c>
      <c r="M16" s="160">
        <f t="shared" si="6"/>
        <v>1.9421441359194678</v>
      </c>
      <c r="N16" s="160">
        <f t="shared" si="10"/>
        <v>8.510866643902304</v>
      </c>
      <c r="O16" s="160">
        <f t="shared" si="11"/>
        <v>13.216282948785839</v>
      </c>
    </row>
    <row r="17" spans="2:15" x14ac:dyDescent="0.3">
      <c r="B17" s="106" t="str">
        <f t="shared" si="0"/>
        <v>Tech Mahindra</v>
      </c>
      <c r="C17" s="106" t="s">
        <v>288</v>
      </c>
      <c r="D17" s="106">
        <f t="shared" si="7"/>
        <v>1537.1</v>
      </c>
      <c r="E17" s="106">
        <f t="shared" si="7"/>
        <v>97.9</v>
      </c>
      <c r="F17" s="108">
        <f t="shared" si="8"/>
        <v>150482.09</v>
      </c>
      <c r="G17" s="108">
        <f t="shared" si="1"/>
        <v>2186.1999999999998</v>
      </c>
      <c r="H17" s="108">
        <f t="shared" si="2"/>
        <v>5105.3999999999996</v>
      </c>
      <c r="I17" s="107">
        <f t="shared" si="9"/>
        <v>147562.89000000001</v>
      </c>
      <c r="J17" s="108">
        <f t="shared" si="3"/>
        <v>59176.1</v>
      </c>
      <c r="K17" s="108">
        <f t="shared" si="4"/>
        <v>9056.9</v>
      </c>
      <c r="L17" s="108">
        <f t="shared" si="5"/>
        <v>5320.57</v>
      </c>
      <c r="M17" s="160">
        <f t="shared" si="6"/>
        <v>2.4936231012182284</v>
      </c>
      <c r="N17" s="160">
        <f t="shared" si="10"/>
        <v>16.292869524892627</v>
      </c>
      <c r="O17" s="160">
        <f t="shared" si="11"/>
        <v>28.283076813198587</v>
      </c>
    </row>
    <row r="18" spans="2:15" x14ac:dyDescent="0.3">
      <c r="B18" s="106" t="str">
        <f t="shared" si="0"/>
        <v>LTM</v>
      </c>
      <c r="C18" s="106" t="s">
        <v>268</v>
      </c>
      <c r="D18" s="106">
        <f t="shared" si="7"/>
        <v>4275.1000000000004</v>
      </c>
      <c r="E18" s="106">
        <f t="shared" si="7"/>
        <v>29.63</v>
      </c>
      <c r="F18" s="108">
        <f t="shared" si="8"/>
        <v>126671.213</v>
      </c>
      <c r="G18" s="108">
        <f t="shared" si="1"/>
        <v>2310</v>
      </c>
      <c r="H18" s="108">
        <f t="shared" si="2"/>
        <v>2812.4</v>
      </c>
      <c r="I18" s="107">
        <f t="shared" si="9"/>
        <v>126168.81300000001</v>
      </c>
      <c r="J18" s="108">
        <f t="shared" si="3"/>
        <v>44075</v>
      </c>
      <c r="K18" s="108">
        <f t="shared" si="4"/>
        <v>8649.6</v>
      </c>
      <c r="L18" s="108">
        <f t="shared" si="5"/>
        <v>5609.89</v>
      </c>
      <c r="M18" s="160">
        <f t="shared" si="6"/>
        <v>2.8625936018150879</v>
      </c>
      <c r="N18" s="160">
        <f t="shared" si="10"/>
        <v>14.586664470033297</v>
      </c>
      <c r="O18" s="160">
        <f t="shared" si="11"/>
        <v>22.579981603917368</v>
      </c>
    </row>
    <row r="19" spans="2:15" x14ac:dyDescent="0.3">
      <c r="B19" s="113" t="str">
        <f t="shared" si="0"/>
        <v>Persistent Systems</v>
      </c>
      <c r="C19" s="113" t="s">
        <v>289</v>
      </c>
      <c r="D19" s="106">
        <f t="shared" si="7"/>
        <v>5416</v>
      </c>
      <c r="E19" s="106">
        <f t="shared" si="7"/>
        <v>15.46</v>
      </c>
      <c r="F19" s="108">
        <f t="shared" si="8"/>
        <v>83731.360000000001</v>
      </c>
      <c r="G19" s="108">
        <f t="shared" si="1"/>
        <v>477.45</v>
      </c>
      <c r="H19" s="159">
        <f t="shared" si="2"/>
        <v>1218.25</v>
      </c>
      <c r="I19" s="107">
        <f t="shared" si="9"/>
        <v>82990.559999999998</v>
      </c>
      <c r="J19" s="159">
        <f t="shared" si="3"/>
        <v>15718.1</v>
      </c>
      <c r="K19" s="159">
        <f t="shared" si="4"/>
        <v>2970.2</v>
      </c>
      <c r="L19" s="159">
        <f t="shared" si="5"/>
        <v>1990.12</v>
      </c>
      <c r="M19" s="160">
        <f t="shared" si="6"/>
        <v>5.2799358701115269</v>
      </c>
      <c r="N19" s="160">
        <f t="shared" si="10"/>
        <v>27.94106794155276</v>
      </c>
      <c r="O19" s="160">
        <f t="shared" si="11"/>
        <v>42.073523204630881</v>
      </c>
    </row>
    <row r="20" spans="2:15" x14ac:dyDescent="0.3">
      <c r="B20" s="157" t="s">
        <v>290</v>
      </c>
      <c r="C20" s="158"/>
      <c r="D20" s="158"/>
      <c r="E20" s="158"/>
      <c r="F20" s="158"/>
      <c r="G20" s="158"/>
      <c r="H20" s="158"/>
      <c r="I20" s="158"/>
      <c r="J20" s="158"/>
      <c r="K20" s="158"/>
      <c r="L20" s="155"/>
      <c r="M20" s="161">
        <f>AVERAGE(M14:M19)</f>
        <v>2.8764300369255662</v>
      </c>
      <c r="N20" s="161">
        <f t="shared" ref="N20:O20" si="12">AVERAGE(N14:N19)</f>
        <v>14.649112761260755</v>
      </c>
      <c r="O20" s="161">
        <f t="shared" si="12"/>
        <v>23.143272511385721</v>
      </c>
    </row>
    <row r="21" spans="2:15" x14ac:dyDescent="0.3">
      <c r="B21" s="156" t="s">
        <v>291</v>
      </c>
      <c r="C21" s="153"/>
      <c r="D21" s="153"/>
      <c r="E21" s="153"/>
      <c r="F21" s="153"/>
      <c r="G21" s="153"/>
      <c r="H21" s="153"/>
      <c r="I21" s="153"/>
      <c r="J21" s="153"/>
      <c r="K21" s="153"/>
      <c r="L21" s="154"/>
      <c r="M21" s="161">
        <f>MEDIAN(M14:M19)</f>
        <v>2.4405415169716544</v>
      </c>
      <c r="N21" s="161">
        <f t="shared" ref="N21:O21" si="13">MEDIAN(N14:N19)</f>
        <v>12.997274717770363</v>
      </c>
      <c r="O21" s="161">
        <f t="shared" si="13"/>
        <v>20.639587334399074</v>
      </c>
    </row>
    <row r="23" spans="2:15" x14ac:dyDescent="0.3">
      <c r="B23" s="106" t="s">
        <v>263</v>
      </c>
      <c r="C23" s="106" t="s">
        <v>263</v>
      </c>
      <c r="D23" s="108">
        <f>C4</f>
        <v>2105</v>
      </c>
      <c r="E23" s="106">
        <f>D4</f>
        <v>361.81</v>
      </c>
      <c r="F23" s="108">
        <f t="shared" ref="F23" si="14">D23*E23</f>
        <v>761610.05</v>
      </c>
      <c r="G23" s="108">
        <f>F4</f>
        <v>11283</v>
      </c>
      <c r="H23" s="108">
        <f>G4</f>
        <v>12908</v>
      </c>
      <c r="I23" s="107">
        <f t="shared" ref="I23" si="15">SUM(F23,G23)-H23</f>
        <v>759985.05</v>
      </c>
      <c r="J23" s="108">
        <f>H4</f>
        <v>275859</v>
      </c>
      <c r="K23" s="108">
        <f>I4</f>
        <v>76450</v>
      </c>
      <c r="L23" s="108">
        <f>J4</f>
        <v>53690.47</v>
      </c>
      <c r="M23" s="160">
        <f t="shared" ref="M23" si="16">I23/J23</f>
        <v>2.754976455363066</v>
      </c>
      <c r="N23" s="160">
        <f t="shared" ref="N23" si="17">I23/K23</f>
        <v>9.9409424460431666</v>
      </c>
      <c r="O23" s="160">
        <f t="shared" ref="O23" si="18">F23/L23</f>
        <v>14.185199906054091</v>
      </c>
    </row>
    <row r="25" spans="2:15" x14ac:dyDescent="0.3">
      <c r="B25" s="116" t="s">
        <v>293</v>
      </c>
      <c r="C25" s="143" t="s">
        <v>294</v>
      </c>
      <c r="D25" s="143" t="s">
        <v>279</v>
      </c>
      <c r="E25" s="143" t="s">
        <v>12</v>
      </c>
      <c r="F25" s="167" t="s">
        <v>278</v>
      </c>
      <c r="G25" s="143" t="s">
        <v>295</v>
      </c>
      <c r="H25" s="143" t="s">
        <v>292</v>
      </c>
      <c r="I25" s="166" t="s">
        <v>297</v>
      </c>
    </row>
    <row r="26" spans="2:15" x14ac:dyDescent="0.3">
      <c r="B26" s="106" t="str">
        <f>M13</f>
        <v>EV/Sales</v>
      </c>
      <c r="C26" s="163">
        <f>M21</f>
        <v>2.4405415169716544</v>
      </c>
      <c r="D26" s="107">
        <f>C26*J23</f>
        <v>673245.3423302836</v>
      </c>
      <c r="E26" s="164">
        <f>G23</f>
        <v>11283</v>
      </c>
      <c r="F26" s="107">
        <f>H23</f>
        <v>12908</v>
      </c>
      <c r="G26" s="107">
        <f>(D26+F26)-E26</f>
        <v>674870.3423302836</v>
      </c>
      <c r="H26" s="106">
        <f>E23</f>
        <v>361.81</v>
      </c>
      <c r="I26" s="165">
        <f>G26/H26</f>
        <v>1865.2617183888881</v>
      </c>
    </row>
    <row r="27" spans="2:15" x14ac:dyDescent="0.3">
      <c r="B27" s="106" t="str">
        <f>N13</f>
        <v>EV/EBITDA</v>
      </c>
      <c r="C27" s="163">
        <f>N21</f>
        <v>12.997274717770363</v>
      </c>
      <c r="D27" s="107">
        <f>C27*K23</f>
        <v>993641.65217354428</v>
      </c>
      <c r="E27" s="164">
        <f>E26</f>
        <v>11283</v>
      </c>
      <c r="F27" s="107">
        <f>F26</f>
        <v>12908</v>
      </c>
      <c r="G27" s="107">
        <f t="shared" ref="G27" si="19">(D27+F27)-E27</f>
        <v>995266.65217354428</v>
      </c>
      <c r="H27" s="106">
        <f>H26</f>
        <v>361.81</v>
      </c>
      <c r="I27" s="165">
        <f>G27/H27</f>
        <v>2750.7991823707034</v>
      </c>
    </row>
    <row r="28" spans="2:15" x14ac:dyDescent="0.3">
      <c r="B28" s="106" t="str">
        <f>O13</f>
        <v>P/E</v>
      </c>
      <c r="C28" s="163">
        <f>O21</f>
        <v>20.639587334399074</v>
      </c>
      <c r="D28" s="107">
        <f>G28+E28-(F28)</f>
        <v>1106524.1445899336</v>
      </c>
      <c r="E28" s="164">
        <f>E27</f>
        <v>11283</v>
      </c>
      <c r="F28" s="107">
        <f>F26</f>
        <v>12908</v>
      </c>
      <c r="G28" s="107">
        <f>C28*L23</f>
        <v>1108149.1445899336</v>
      </c>
      <c r="H28" s="106">
        <f>H27</f>
        <v>361.81</v>
      </c>
      <c r="I28" s="165">
        <f>G28/H28</f>
        <v>3062.7930255933597</v>
      </c>
    </row>
    <row r="30" spans="2:15" x14ac:dyDescent="0.3">
      <c r="G30" s="162"/>
    </row>
    <row r="31" spans="2:15" x14ac:dyDescent="0.3">
      <c r="G31" s="94"/>
    </row>
    <row r="32" spans="2:15" x14ac:dyDescent="0.3">
      <c r="G32" s="109"/>
    </row>
  </sheetData>
  <mergeCells count="3">
    <mergeCell ref="D12:I12"/>
    <mergeCell ref="J12:L12"/>
    <mergeCell ref="M12:O1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8A02-01E0-400F-84AC-39C6752BF6E8}">
  <dimension ref="A1:F2900"/>
  <sheetViews>
    <sheetView showGridLines="0" workbookViewId="0">
      <selection activeCell="J9" sqref="J9"/>
    </sheetView>
  </sheetViews>
  <sheetFormatPr defaultRowHeight="14.4" x14ac:dyDescent="0.3"/>
  <cols>
    <col min="1" max="1" width="1.44140625" style="184" customWidth="1"/>
    <col min="2" max="2" width="10.33203125" style="141" bestFit="1" customWidth="1"/>
    <col min="3" max="3" width="11.88671875" style="141" customWidth="1"/>
    <col min="4" max="4" width="4.5546875" style="141" customWidth="1"/>
    <col min="5" max="5" width="13.33203125" style="141" bestFit="1" customWidth="1"/>
    <col min="6" max="6" width="5" style="141" bestFit="1" customWidth="1"/>
    <col min="7" max="16384" width="8.88671875" style="183"/>
  </cols>
  <sheetData>
    <row r="1" spans="1:6" ht="25.05" customHeight="1" x14ac:dyDescent="0.4">
      <c r="A1" s="180" t="s">
        <v>306</v>
      </c>
      <c r="B1" s="181"/>
      <c r="C1" s="181"/>
      <c r="D1" s="181"/>
      <c r="E1" s="181"/>
      <c r="F1" s="182"/>
    </row>
    <row r="2" spans="1:6" x14ac:dyDescent="0.3">
      <c r="B2" s="185" t="s">
        <v>307</v>
      </c>
      <c r="C2" s="185" t="s">
        <v>308</v>
      </c>
      <c r="F2" s="186"/>
    </row>
    <row r="3" spans="1:6" x14ac:dyDescent="0.3">
      <c r="B3" s="187">
        <v>46266</v>
      </c>
      <c r="C3" s="186">
        <v>74781.759999999995</v>
      </c>
      <c r="F3" s="186"/>
    </row>
    <row r="4" spans="1:6" x14ac:dyDescent="0.3">
      <c r="B4" s="187">
        <v>46235</v>
      </c>
      <c r="C4" s="186">
        <v>76957.27</v>
      </c>
      <c r="E4" s="188" t="s">
        <v>309</v>
      </c>
      <c r="F4" s="189">
        <f>YEARFRAC(B143,B3)</f>
        <v>11.666666666666666</v>
      </c>
    </row>
    <row r="5" spans="1:6" x14ac:dyDescent="0.3">
      <c r="B5" s="187">
        <v>46204</v>
      </c>
      <c r="C5" s="186">
        <v>78094.64</v>
      </c>
      <c r="E5" s="188" t="s">
        <v>310</v>
      </c>
      <c r="F5" s="190">
        <f>_xlfn.RRI(F4,C143,C3)</f>
        <v>8.3998188341444235E-2</v>
      </c>
    </row>
    <row r="6" spans="1:6" x14ac:dyDescent="0.3">
      <c r="B6" s="187">
        <v>46174</v>
      </c>
      <c r="C6" s="186">
        <v>76478.67</v>
      </c>
    </row>
    <row r="7" spans="1:6" x14ac:dyDescent="0.3">
      <c r="B7" s="187">
        <v>46143</v>
      </c>
      <c r="C7" s="186">
        <v>74775.740000000005</v>
      </c>
    </row>
    <row r="8" spans="1:6" x14ac:dyDescent="0.3">
      <c r="B8" s="187">
        <v>46113</v>
      </c>
      <c r="C8" s="186">
        <v>76913.5</v>
      </c>
    </row>
    <row r="9" spans="1:6" x14ac:dyDescent="0.3">
      <c r="B9" s="187">
        <v>46082</v>
      </c>
      <c r="C9" s="186">
        <v>71947.55</v>
      </c>
    </row>
    <row r="10" spans="1:6" x14ac:dyDescent="0.3">
      <c r="B10" s="187">
        <v>46054</v>
      </c>
      <c r="C10" s="186">
        <v>81287.19</v>
      </c>
    </row>
    <row r="11" spans="1:6" x14ac:dyDescent="0.3">
      <c r="B11" s="187">
        <v>46023</v>
      </c>
      <c r="C11" s="186">
        <v>82269.78</v>
      </c>
    </row>
    <row r="12" spans="1:6" x14ac:dyDescent="0.3">
      <c r="B12" s="187">
        <v>45992</v>
      </c>
      <c r="C12" s="186">
        <v>85220.6</v>
      </c>
    </row>
    <row r="13" spans="1:6" x14ac:dyDescent="0.3">
      <c r="B13" s="187">
        <v>45962</v>
      </c>
      <c r="C13" s="186">
        <v>85706.67</v>
      </c>
    </row>
    <row r="14" spans="1:6" x14ac:dyDescent="0.3">
      <c r="B14" s="187">
        <v>45931</v>
      </c>
      <c r="C14" s="186">
        <v>83938.71</v>
      </c>
    </row>
    <row r="15" spans="1:6" x14ac:dyDescent="0.3">
      <c r="B15" s="187">
        <v>45901</v>
      </c>
      <c r="C15" s="186">
        <v>80267.62</v>
      </c>
    </row>
    <row r="16" spans="1:6" x14ac:dyDescent="0.3">
      <c r="B16" s="187">
        <v>45870</v>
      </c>
      <c r="C16" s="186">
        <v>79809.649999999994</v>
      </c>
    </row>
    <row r="17" spans="2:3" x14ac:dyDescent="0.3">
      <c r="B17" s="187">
        <v>45839</v>
      </c>
      <c r="C17" s="186">
        <v>81185.58</v>
      </c>
    </row>
    <row r="18" spans="2:3" x14ac:dyDescent="0.3">
      <c r="B18" s="187">
        <v>45809</v>
      </c>
      <c r="C18" s="186">
        <v>83606.460000000006</v>
      </c>
    </row>
    <row r="19" spans="2:3" x14ac:dyDescent="0.3">
      <c r="B19" s="187">
        <v>45778</v>
      </c>
      <c r="C19" s="186">
        <v>81451.009999999995</v>
      </c>
    </row>
    <row r="20" spans="2:3" x14ac:dyDescent="0.3">
      <c r="B20" s="187">
        <v>45748</v>
      </c>
      <c r="C20" s="186">
        <v>80242.240000000005</v>
      </c>
    </row>
    <row r="21" spans="2:3" x14ac:dyDescent="0.3">
      <c r="B21" s="187">
        <v>45717</v>
      </c>
      <c r="C21" s="186">
        <v>77414.92</v>
      </c>
    </row>
    <row r="22" spans="2:3" x14ac:dyDescent="0.3">
      <c r="B22" s="187">
        <v>45689</v>
      </c>
      <c r="C22" s="186">
        <v>73198.100000000006</v>
      </c>
    </row>
    <row r="23" spans="2:3" x14ac:dyDescent="0.3">
      <c r="B23" s="187">
        <v>45658</v>
      </c>
      <c r="C23" s="186">
        <v>77500.570000000007</v>
      </c>
    </row>
    <row r="24" spans="2:3" x14ac:dyDescent="0.3">
      <c r="B24" s="187">
        <v>45627</v>
      </c>
      <c r="C24" s="186">
        <v>78139.009999999995</v>
      </c>
    </row>
    <row r="25" spans="2:3" x14ac:dyDescent="0.3">
      <c r="B25" s="187">
        <v>45597</v>
      </c>
      <c r="C25" s="186">
        <v>79802.789999999994</v>
      </c>
    </row>
    <row r="26" spans="2:3" x14ac:dyDescent="0.3">
      <c r="B26" s="187">
        <v>45566</v>
      </c>
      <c r="C26" s="186">
        <v>79389.06</v>
      </c>
    </row>
    <row r="27" spans="2:3" x14ac:dyDescent="0.3">
      <c r="B27" s="187">
        <v>45536</v>
      </c>
      <c r="C27" s="186">
        <v>84299.78</v>
      </c>
    </row>
    <row r="28" spans="2:3" x14ac:dyDescent="0.3">
      <c r="B28" s="187">
        <v>45505</v>
      </c>
      <c r="C28" s="186">
        <v>82365.77</v>
      </c>
    </row>
    <row r="29" spans="2:3" x14ac:dyDescent="0.3">
      <c r="B29" s="187">
        <v>45474</v>
      </c>
      <c r="C29" s="186">
        <v>81741.34</v>
      </c>
    </row>
    <row r="30" spans="2:3" x14ac:dyDescent="0.3">
      <c r="B30" s="187">
        <v>45444</v>
      </c>
      <c r="C30" s="186">
        <v>79032.73</v>
      </c>
    </row>
    <row r="31" spans="2:3" x14ac:dyDescent="0.3">
      <c r="B31" s="187">
        <v>45413</v>
      </c>
      <c r="C31" s="186">
        <v>73961.31</v>
      </c>
    </row>
    <row r="32" spans="2:3" x14ac:dyDescent="0.3">
      <c r="B32" s="187">
        <v>45383</v>
      </c>
      <c r="C32" s="186">
        <v>74482.78</v>
      </c>
    </row>
    <row r="33" spans="2:3" x14ac:dyDescent="0.3">
      <c r="B33" s="187">
        <v>45352</v>
      </c>
      <c r="C33" s="186">
        <v>73651.350000000006</v>
      </c>
    </row>
    <row r="34" spans="2:3" x14ac:dyDescent="0.3">
      <c r="B34" s="187">
        <v>45323</v>
      </c>
      <c r="C34" s="186">
        <v>72500.3</v>
      </c>
    </row>
    <row r="35" spans="2:3" x14ac:dyDescent="0.3">
      <c r="B35" s="187">
        <v>45292</v>
      </c>
      <c r="C35" s="186">
        <v>71752.11</v>
      </c>
    </row>
    <row r="36" spans="2:3" x14ac:dyDescent="0.3">
      <c r="B36" s="187">
        <v>45261</v>
      </c>
      <c r="C36" s="186">
        <v>72240.259999999995</v>
      </c>
    </row>
    <row r="37" spans="2:3" x14ac:dyDescent="0.3">
      <c r="B37" s="187">
        <v>45231</v>
      </c>
      <c r="C37" s="186">
        <v>66988.44</v>
      </c>
    </row>
    <row r="38" spans="2:3" x14ac:dyDescent="0.3">
      <c r="B38" s="187">
        <v>45200</v>
      </c>
      <c r="C38" s="186">
        <v>63874.93</v>
      </c>
    </row>
    <row r="39" spans="2:3" x14ac:dyDescent="0.3">
      <c r="B39" s="187">
        <v>45170</v>
      </c>
      <c r="C39" s="186">
        <v>65828.41</v>
      </c>
    </row>
    <row r="40" spans="2:3" x14ac:dyDescent="0.3">
      <c r="B40" s="187">
        <v>45139</v>
      </c>
      <c r="C40" s="186">
        <v>64831.41</v>
      </c>
    </row>
    <row r="41" spans="2:3" x14ac:dyDescent="0.3">
      <c r="B41" s="187">
        <v>45108</v>
      </c>
      <c r="C41" s="186">
        <v>66527.67</v>
      </c>
    </row>
    <row r="42" spans="2:3" x14ac:dyDescent="0.3">
      <c r="B42" s="187">
        <v>45078</v>
      </c>
      <c r="C42" s="186">
        <v>64718.559999999998</v>
      </c>
    </row>
    <row r="43" spans="2:3" x14ac:dyDescent="0.3">
      <c r="B43" s="187">
        <v>45047</v>
      </c>
      <c r="C43" s="186">
        <v>62622.239999999998</v>
      </c>
    </row>
    <row r="44" spans="2:3" x14ac:dyDescent="0.3">
      <c r="B44" s="187">
        <v>45017</v>
      </c>
      <c r="C44" s="186">
        <v>61112.44</v>
      </c>
    </row>
    <row r="45" spans="2:3" x14ac:dyDescent="0.3">
      <c r="B45" s="187">
        <v>44986</v>
      </c>
      <c r="C45" s="186">
        <v>58991.519999999997</v>
      </c>
    </row>
    <row r="46" spans="2:3" x14ac:dyDescent="0.3">
      <c r="B46" s="187">
        <v>44958</v>
      </c>
      <c r="C46" s="186">
        <v>58962.12</v>
      </c>
    </row>
    <row r="47" spans="2:3" x14ac:dyDescent="0.3">
      <c r="B47" s="187">
        <v>44927</v>
      </c>
      <c r="C47" s="186">
        <v>59549.9</v>
      </c>
    </row>
    <row r="48" spans="2:3" x14ac:dyDescent="0.3">
      <c r="B48" s="187">
        <v>44896</v>
      </c>
      <c r="C48" s="186">
        <v>60840.74</v>
      </c>
    </row>
    <row r="49" spans="2:3" x14ac:dyDescent="0.3">
      <c r="B49" s="187">
        <v>44866</v>
      </c>
      <c r="C49" s="186">
        <v>63099.65</v>
      </c>
    </row>
    <row r="50" spans="2:3" x14ac:dyDescent="0.3">
      <c r="B50" s="187">
        <v>44835</v>
      </c>
      <c r="C50" s="186">
        <v>60746.59</v>
      </c>
    </row>
    <row r="51" spans="2:3" x14ac:dyDescent="0.3">
      <c r="B51" s="187">
        <v>44805</v>
      </c>
      <c r="C51" s="186">
        <v>57426.92</v>
      </c>
    </row>
    <row r="52" spans="2:3" x14ac:dyDescent="0.3">
      <c r="B52" s="187">
        <v>44774</v>
      </c>
      <c r="C52" s="186">
        <v>59537.07</v>
      </c>
    </row>
    <row r="53" spans="2:3" x14ac:dyDescent="0.3">
      <c r="B53" s="187">
        <v>44743</v>
      </c>
      <c r="C53" s="186">
        <v>57570.25</v>
      </c>
    </row>
    <row r="54" spans="2:3" x14ac:dyDescent="0.3">
      <c r="B54" s="187">
        <v>44713</v>
      </c>
      <c r="C54" s="186">
        <v>53018.94</v>
      </c>
    </row>
    <row r="55" spans="2:3" x14ac:dyDescent="0.3">
      <c r="B55" s="187">
        <v>44682</v>
      </c>
      <c r="C55" s="186">
        <v>55566.41</v>
      </c>
    </row>
    <row r="56" spans="2:3" x14ac:dyDescent="0.3">
      <c r="B56" s="187">
        <v>44652</v>
      </c>
      <c r="C56" s="186">
        <v>57060.87</v>
      </c>
    </row>
    <row r="57" spans="2:3" x14ac:dyDescent="0.3">
      <c r="B57" s="187">
        <v>44621</v>
      </c>
      <c r="C57" s="186">
        <v>58568.51</v>
      </c>
    </row>
    <row r="58" spans="2:3" x14ac:dyDescent="0.3">
      <c r="B58" s="187">
        <v>44593</v>
      </c>
      <c r="C58" s="186">
        <v>56247.28</v>
      </c>
    </row>
    <row r="59" spans="2:3" x14ac:dyDescent="0.3">
      <c r="B59" s="187">
        <v>44562</v>
      </c>
      <c r="C59" s="186">
        <v>58014.17</v>
      </c>
    </row>
    <row r="60" spans="2:3" x14ac:dyDescent="0.3">
      <c r="B60" s="187">
        <v>44531</v>
      </c>
      <c r="C60" s="186">
        <v>58253.82</v>
      </c>
    </row>
    <row r="61" spans="2:3" x14ac:dyDescent="0.3">
      <c r="B61" s="187">
        <v>44501</v>
      </c>
      <c r="C61" s="186">
        <v>57064.87</v>
      </c>
    </row>
    <row r="62" spans="2:3" x14ac:dyDescent="0.3">
      <c r="B62" s="187">
        <v>44470</v>
      </c>
      <c r="C62" s="186">
        <v>59306.93</v>
      </c>
    </row>
    <row r="63" spans="2:3" x14ac:dyDescent="0.3">
      <c r="B63" s="187">
        <v>44440</v>
      </c>
      <c r="C63" s="186">
        <v>59126.36</v>
      </c>
    </row>
    <row r="64" spans="2:3" x14ac:dyDescent="0.3">
      <c r="B64" s="187">
        <v>44409</v>
      </c>
      <c r="C64" s="186">
        <v>57552.39</v>
      </c>
    </row>
    <row r="65" spans="2:3" x14ac:dyDescent="0.3">
      <c r="B65" s="187">
        <v>44378</v>
      </c>
      <c r="C65" s="186">
        <v>52586.84</v>
      </c>
    </row>
    <row r="66" spans="2:3" x14ac:dyDescent="0.3">
      <c r="B66" s="187">
        <v>44348</v>
      </c>
      <c r="C66" s="186">
        <v>52482.71</v>
      </c>
    </row>
    <row r="67" spans="2:3" x14ac:dyDescent="0.3">
      <c r="B67" s="187">
        <v>44317</v>
      </c>
      <c r="C67" s="186">
        <v>51937.440000000002</v>
      </c>
    </row>
    <row r="68" spans="2:3" x14ac:dyDescent="0.3">
      <c r="B68" s="187">
        <v>44287</v>
      </c>
      <c r="C68" s="186">
        <v>48782.36</v>
      </c>
    </row>
    <row r="69" spans="2:3" x14ac:dyDescent="0.3">
      <c r="B69" s="187">
        <v>44256</v>
      </c>
      <c r="C69" s="186">
        <v>49509.15</v>
      </c>
    </row>
    <row r="70" spans="2:3" x14ac:dyDescent="0.3">
      <c r="B70" s="187">
        <v>44228</v>
      </c>
      <c r="C70" s="186">
        <v>49099.99</v>
      </c>
    </row>
    <row r="71" spans="2:3" x14ac:dyDescent="0.3">
      <c r="B71" s="187">
        <v>44197</v>
      </c>
      <c r="C71" s="186">
        <v>46285.77</v>
      </c>
    </row>
    <row r="72" spans="2:3" x14ac:dyDescent="0.3">
      <c r="B72" s="187">
        <v>44166</v>
      </c>
      <c r="C72" s="186">
        <v>47751.33</v>
      </c>
    </row>
    <row r="73" spans="2:3" x14ac:dyDescent="0.3">
      <c r="B73" s="187">
        <v>44136</v>
      </c>
      <c r="C73" s="186">
        <v>44149.72</v>
      </c>
    </row>
    <row r="74" spans="2:3" x14ac:dyDescent="0.3">
      <c r="B74" s="187">
        <v>44105</v>
      </c>
      <c r="C74" s="186">
        <v>39614.07</v>
      </c>
    </row>
    <row r="75" spans="2:3" x14ac:dyDescent="0.3">
      <c r="B75" s="187">
        <v>44075</v>
      </c>
      <c r="C75" s="186">
        <v>38067.93</v>
      </c>
    </row>
    <row r="76" spans="2:3" x14ac:dyDescent="0.3">
      <c r="B76" s="187">
        <v>44044</v>
      </c>
      <c r="C76" s="186">
        <v>38628.29</v>
      </c>
    </row>
    <row r="77" spans="2:3" x14ac:dyDescent="0.3">
      <c r="B77" s="187">
        <v>44013</v>
      </c>
      <c r="C77" s="186">
        <v>37606.89</v>
      </c>
    </row>
    <row r="78" spans="2:3" x14ac:dyDescent="0.3">
      <c r="B78" s="187">
        <v>43983</v>
      </c>
      <c r="C78" s="186">
        <v>34915.800000000003</v>
      </c>
    </row>
    <row r="79" spans="2:3" x14ac:dyDescent="0.3">
      <c r="B79" s="187">
        <v>43952</v>
      </c>
      <c r="C79" s="186">
        <v>32424.1</v>
      </c>
    </row>
    <row r="80" spans="2:3" x14ac:dyDescent="0.3">
      <c r="B80" s="187">
        <v>43922</v>
      </c>
      <c r="C80" s="186">
        <v>33717.620000000003</v>
      </c>
    </row>
    <row r="81" spans="2:3" x14ac:dyDescent="0.3">
      <c r="B81" s="187">
        <v>43891</v>
      </c>
      <c r="C81" s="186">
        <v>29468.49</v>
      </c>
    </row>
    <row r="82" spans="2:3" x14ac:dyDescent="0.3">
      <c r="B82" s="187">
        <v>43862</v>
      </c>
      <c r="C82" s="186">
        <v>38297.29</v>
      </c>
    </row>
    <row r="83" spans="2:3" x14ac:dyDescent="0.3">
      <c r="B83" s="187">
        <v>43831</v>
      </c>
      <c r="C83" s="186">
        <v>40723.49</v>
      </c>
    </row>
    <row r="84" spans="2:3" x14ac:dyDescent="0.3">
      <c r="B84" s="187">
        <v>43800</v>
      </c>
      <c r="C84" s="186">
        <v>41253.74</v>
      </c>
    </row>
    <row r="85" spans="2:3" x14ac:dyDescent="0.3">
      <c r="B85" s="187">
        <v>43770</v>
      </c>
      <c r="C85" s="186">
        <v>40793.81</v>
      </c>
    </row>
    <row r="86" spans="2:3" x14ac:dyDescent="0.3">
      <c r="B86" s="187">
        <v>43739</v>
      </c>
      <c r="C86" s="186">
        <v>40129.050000000003</v>
      </c>
    </row>
    <row r="87" spans="2:3" x14ac:dyDescent="0.3">
      <c r="B87" s="187">
        <v>43709</v>
      </c>
      <c r="C87" s="186">
        <v>38667.33</v>
      </c>
    </row>
    <row r="88" spans="2:3" x14ac:dyDescent="0.3">
      <c r="B88" s="187">
        <v>43678</v>
      </c>
      <c r="C88" s="186">
        <v>37332.79</v>
      </c>
    </row>
    <row r="89" spans="2:3" x14ac:dyDescent="0.3">
      <c r="B89" s="187">
        <v>43647</v>
      </c>
      <c r="C89" s="186">
        <v>37481.120000000003</v>
      </c>
    </row>
    <row r="90" spans="2:3" x14ac:dyDescent="0.3">
      <c r="B90" s="187">
        <v>43617</v>
      </c>
      <c r="C90" s="186">
        <v>39394.639999999999</v>
      </c>
    </row>
    <row r="91" spans="2:3" x14ac:dyDescent="0.3">
      <c r="B91" s="187">
        <v>43586</v>
      </c>
      <c r="C91" s="186">
        <v>39714.199999999997</v>
      </c>
    </row>
    <row r="92" spans="2:3" x14ac:dyDescent="0.3">
      <c r="B92" s="187">
        <v>43556</v>
      </c>
      <c r="C92" s="186">
        <v>39031.550000000003</v>
      </c>
    </row>
    <row r="93" spans="2:3" x14ac:dyDescent="0.3">
      <c r="B93" s="187">
        <v>43525</v>
      </c>
      <c r="C93" s="186">
        <v>38672.910000000003</v>
      </c>
    </row>
    <row r="94" spans="2:3" x14ac:dyDescent="0.3">
      <c r="B94" s="187">
        <v>43497</v>
      </c>
      <c r="C94" s="186">
        <v>35867.440000000002</v>
      </c>
    </row>
    <row r="95" spans="2:3" x14ac:dyDescent="0.3">
      <c r="B95" s="187">
        <v>43466</v>
      </c>
      <c r="C95" s="186">
        <v>36256.69</v>
      </c>
    </row>
    <row r="96" spans="2:3" x14ac:dyDescent="0.3">
      <c r="B96" s="187">
        <v>43435</v>
      </c>
      <c r="C96" s="186">
        <v>36068.33</v>
      </c>
    </row>
    <row r="97" spans="2:3" x14ac:dyDescent="0.3">
      <c r="B97" s="187">
        <v>43405</v>
      </c>
      <c r="C97" s="186">
        <v>36194.300000000003</v>
      </c>
    </row>
    <row r="98" spans="2:3" x14ac:dyDescent="0.3">
      <c r="B98" s="187">
        <v>43374</v>
      </c>
      <c r="C98" s="186">
        <v>34442.050000000003</v>
      </c>
    </row>
    <row r="99" spans="2:3" x14ac:dyDescent="0.3">
      <c r="B99" s="187">
        <v>43344</v>
      </c>
      <c r="C99" s="186">
        <v>36227.14</v>
      </c>
    </row>
    <row r="100" spans="2:3" x14ac:dyDescent="0.3">
      <c r="B100" s="187">
        <v>43313</v>
      </c>
      <c r="C100" s="186">
        <v>38645.07</v>
      </c>
    </row>
    <row r="101" spans="2:3" x14ac:dyDescent="0.3">
      <c r="B101" s="187">
        <v>43282</v>
      </c>
      <c r="C101" s="186">
        <v>37606.58</v>
      </c>
    </row>
    <row r="102" spans="2:3" x14ac:dyDescent="0.3">
      <c r="B102" s="187">
        <v>43252</v>
      </c>
      <c r="C102" s="186">
        <v>35423.480000000003</v>
      </c>
    </row>
    <row r="103" spans="2:3" x14ac:dyDescent="0.3">
      <c r="B103" s="187">
        <v>43221</v>
      </c>
      <c r="C103" s="186">
        <v>35322.379999999997</v>
      </c>
    </row>
    <row r="104" spans="2:3" x14ac:dyDescent="0.3">
      <c r="B104" s="187">
        <v>43191</v>
      </c>
      <c r="C104" s="186">
        <v>35160.36</v>
      </c>
    </row>
    <row r="105" spans="2:3" x14ac:dyDescent="0.3">
      <c r="B105" s="187">
        <v>43160</v>
      </c>
      <c r="C105" s="186">
        <v>32968.68</v>
      </c>
    </row>
    <row r="106" spans="2:3" x14ac:dyDescent="0.3">
      <c r="B106" s="187">
        <v>43132</v>
      </c>
      <c r="C106" s="186">
        <v>34184.04</v>
      </c>
    </row>
    <row r="107" spans="2:3" x14ac:dyDescent="0.3">
      <c r="B107" s="187">
        <v>43101</v>
      </c>
      <c r="C107" s="186">
        <v>35965.019999999997</v>
      </c>
    </row>
    <row r="108" spans="2:3" x14ac:dyDescent="0.3">
      <c r="B108" s="187">
        <v>43070</v>
      </c>
      <c r="C108" s="186">
        <v>34056.83</v>
      </c>
    </row>
    <row r="109" spans="2:3" x14ac:dyDescent="0.3">
      <c r="B109" s="187">
        <v>43040</v>
      </c>
      <c r="C109" s="186">
        <v>33149.35</v>
      </c>
    </row>
    <row r="110" spans="2:3" x14ac:dyDescent="0.3">
      <c r="B110" s="187">
        <v>43009</v>
      </c>
      <c r="C110" s="186">
        <v>33213.129999999997</v>
      </c>
    </row>
    <row r="111" spans="2:3" x14ac:dyDescent="0.3">
      <c r="B111" s="187">
        <v>42979</v>
      </c>
      <c r="C111" s="186">
        <v>31283.72</v>
      </c>
    </row>
    <row r="112" spans="2:3" x14ac:dyDescent="0.3">
      <c r="B112" s="187">
        <v>42948</v>
      </c>
      <c r="C112" s="186">
        <v>31730.49</v>
      </c>
    </row>
    <row r="113" spans="2:3" x14ac:dyDescent="0.3">
      <c r="B113" s="187">
        <v>42917</v>
      </c>
      <c r="C113" s="186">
        <v>32514.94</v>
      </c>
    </row>
    <row r="114" spans="2:3" x14ac:dyDescent="0.3">
      <c r="B114" s="187">
        <v>42887</v>
      </c>
      <c r="C114" s="186">
        <v>30921.61</v>
      </c>
    </row>
    <row r="115" spans="2:3" x14ac:dyDescent="0.3">
      <c r="B115" s="187">
        <v>42856</v>
      </c>
      <c r="C115" s="186">
        <v>31145.8</v>
      </c>
    </row>
    <row r="116" spans="2:3" x14ac:dyDescent="0.3">
      <c r="B116" s="187">
        <v>42826</v>
      </c>
      <c r="C116" s="186">
        <v>29918.400000000001</v>
      </c>
    </row>
    <row r="117" spans="2:3" x14ac:dyDescent="0.3">
      <c r="B117" s="187">
        <v>42795</v>
      </c>
      <c r="C117" s="186">
        <v>29620.5</v>
      </c>
    </row>
    <row r="118" spans="2:3" x14ac:dyDescent="0.3">
      <c r="B118" s="187">
        <v>42767</v>
      </c>
      <c r="C118" s="186">
        <v>28743.32</v>
      </c>
    </row>
    <row r="119" spans="2:3" x14ac:dyDescent="0.3">
      <c r="B119" s="187">
        <v>42736</v>
      </c>
      <c r="C119" s="186">
        <v>27655.96</v>
      </c>
    </row>
    <row r="120" spans="2:3" x14ac:dyDescent="0.3">
      <c r="B120" s="187">
        <v>42705</v>
      </c>
      <c r="C120" s="186">
        <v>26626.46</v>
      </c>
    </row>
    <row r="121" spans="2:3" x14ac:dyDescent="0.3">
      <c r="B121" s="187">
        <v>42675</v>
      </c>
      <c r="C121" s="186">
        <v>26652.81</v>
      </c>
    </row>
    <row r="122" spans="2:3" x14ac:dyDescent="0.3">
      <c r="B122" s="187">
        <v>42644</v>
      </c>
      <c r="C122" s="186">
        <v>27930.21</v>
      </c>
    </row>
    <row r="123" spans="2:3" x14ac:dyDescent="0.3">
      <c r="B123" s="187">
        <v>42614</v>
      </c>
      <c r="C123" s="186">
        <v>27865.96</v>
      </c>
    </row>
    <row r="124" spans="2:3" x14ac:dyDescent="0.3">
      <c r="B124" s="187">
        <v>42583</v>
      </c>
      <c r="C124" s="186">
        <v>28452.17</v>
      </c>
    </row>
    <row r="125" spans="2:3" x14ac:dyDescent="0.3">
      <c r="B125" s="187">
        <v>42552</v>
      </c>
      <c r="C125" s="186">
        <v>28051.86</v>
      </c>
    </row>
    <row r="126" spans="2:3" x14ac:dyDescent="0.3">
      <c r="B126" s="187">
        <v>42522</v>
      </c>
      <c r="C126" s="186">
        <v>26999.72</v>
      </c>
    </row>
    <row r="127" spans="2:3" x14ac:dyDescent="0.3">
      <c r="B127" s="187">
        <v>42491</v>
      </c>
      <c r="C127" s="186">
        <v>26667.96</v>
      </c>
    </row>
    <row r="128" spans="2:3" x14ac:dyDescent="0.3">
      <c r="B128" s="187">
        <v>42461</v>
      </c>
      <c r="C128" s="186">
        <v>25606.62</v>
      </c>
    </row>
    <row r="129" spans="2:3" x14ac:dyDescent="0.3">
      <c r="B129" s="187">
        <v>42430</v>
      </c>
      <c r="C129" s="186">
        <v>25341.86</v>
      </c>
    </row>
    <row r="130" spans="2:3" x14ac:dyDescent="0.3">
      <c r="B130" s="187">
        <v>42401</v>
      </c>
      <c r="C130" s="186">
        <v>23002</v>
      </c>
    </row>
    <row r="131" spans="2:3" x14ac:dyDescent="0.3">
      <c r="B131" s="187">
        <v>42370</v>
      </c>
      <c r="C131" s="186">
        <v>24870.69</v>
      </c>
    </row>
    <row r="132" spans="2:3" x14ac:dyDescent="0.3">
      <c r="B132" s="187">
        <v>42339</v>
      </c>
      <c r="C132" s="186">
        <v>26117.54</v>
      </c>
    </row>
    <row r="133" spans="2:3" x14ac:dyDescent="0.3">
      <c r="B133" s="187">
        <v>42309</v>
      </c>
      <c r="C133" s="186">
        <v>26145.67</v>
      </c>
    </row>
    <row r="134" spans="2:3" x14ac:dyDescent="0.3">
      <c r="B134" s="187">
        <v>42278</v>
      </c>
      <c r="C134" s="186">
        <v>26656.83</v>
      </c>
    </row>
    <row r="135" spans="2:3" x14ac:dyDescent="0.3">
      <c r="B135" s="187">
        <v>42248</v>
      </c>
      <c r="C135" s="186">
        <v>26154.83</v>
      </c>
    </row>
    <row r="136" spans="2:3" x14ac:dyDescent="0.3">
      <c r="B136" s="187">
        <v>42217</v>
      </c>
      <c r="C136" s="186">
        <v>26283.09</v>
      </c>
    </row>
    <row r="137" spans="2:3" x14ac:dyDescent="0.3">
      <c r="B137" s="187">
        <v>42186</v>
      </c>
      <c r="C137" s="186">
        <v>28114.560000000001</v>
      </c>
    </row>
    <row r="138" spans="2:3" x14ac:dyDescent="0.3">
      <c r="B138" s="187">
        <v>42156</v>
      </c>
      <c r="C138" s="186">
        <v>27780.83</v>
      </c>
    </row>
    <row r="139" spans="2:3" x14ac:dyDescent="0.3">
      <c r="B139" s="187">
        <v>42125</v>
      </c>
      <c r="C139" s="186">
        <v>27828.44</v>
      </c>
    </row>
    <row r="140" spans="2:3" x14ac:dyDescent="0.3">
      <c r="B140" s="187">
        <v>42095</v>
      </c>
      <c r="C140" s="186">
        <v>27011.31</v>
      </c>
    </row>
    <row r="141" spans="2:3" x14ac:dyDescent="0.3">
      <c r="B141" s="187">
        <v>42064</v>
      </c>
      <c r="C141" s="186">
        <v>27957.49</v>
      </c>
    </row>
    <row r="142" spans="2:3" x14ac:dyDescent="0.3">
      <c r="B142" s="187">
        <v>42036</v>
      </c>
      <c r="C142" s="186">
        <v>29361.5</v>
      </c>
    </row>
    <row r="143" spans="2:3" x14ac:dyDescent="0.3">
      <c r="B143" s="187">
        <v>42005</v>
      </c>
      <c r="C143" s="186">
        <v>29182.95</v>
      </c>
    </row>
    <row r="144" spans="2:3" x14ac:dyDescent="0.3">
      <c r="B144" s="187"/>
      <c r="C144" s="186"/>
    </row>
    <row r="145" spans="2:3" x14ac:dyDescent="0.3">
      <c r="B145" s="187"/>
      <c r="C145" s="186"/>
    </row>
    <row r="146" spans="2:3" x14ac:dyDescent="0.3">
      <c r="B146" s="187"/>
      <c r="C146" s="186"/>
    </row>
    <row r="147" spans="2:3" x14ac:dyDescent="0.3">
      <c r="B147" s="187"/>
      <c r="C147" s="186"/>
    </row>
    <row r="148" spans="2:3" x14ac:dyDescent="0.3">
      <c r="B148" s="187"/>
      <c r="C148" s="186"/>
    </row>
    <row r="149" spans="2:3" x14ac:dyDescent="0.3">
      <c r="B149" s="187"/>
      <c r="C149" s="186"/>
    </row>
    <row r="150" spans="2:3" x14ac:dyDescent="0.3">
      <c r="B150" s="187"/>
      <c r="C150" s="186"/>
    </row>
    <row r="151" spans="2:3" x14ac:dyDescent="0.3">
      <c r="B151" s="187"/>
      <c r="C151" s="186"/>
    </row>
    <row r="152" spans="2:3" x14ac:dyDescent="0.3">
      <c r="B152" s="187"/>
      <c r="C152" s="186"/>
    </row>
    <row r="153" spans="2:3" x14ac:dyDescent="0.3">
      <c r="B153" s="187"/>
      <c r="C153" s="186"/>
    </row>
    <row r="154" spans="2:3" x14ac:dyDescent="0.3">
      <c r="B154" s="187"/>
      <c r="C154" s="186"/>
    </row>
    <row r="155" spans="2:3" x14ac:dyDescent="0.3">
      <c r="B155" s="187"/>
      <c r="C155" s="186"/>
    </row>
    <row r="156" spans="2:3" x14ac:dyDescent="0.3">
      <c r="B156" s="187"/>
      <c r="C156" s="186"/>
    </row>
    <row r="157" spans="2:3" x14ac:dyDescent="0.3">
      <c r="B157" s="187"/>
      <c r="C157" s="186"/>
    </row>
    <row r="158" spans="2:3" x14ac:dyDescent="0.3">
      <c r="B158" s="187"/>
      <c r="C158" s="186"/>
    </row>
    <row r="159" spans="2:3" x14ac:dyDescent="0.3">
      <c r="B159" s="187"/>
      <c r="C159" s="186"/>
    </row>
    <row r="160" spans="2:3" x14ac:dyDescent="0.3">
      <c r="B160" s="187"/>
      <c r="C160" s="186"/>
    </row>
    <row r="161" spans="2:3" x14ac:dyDescent="0.3">
      <c r="B161" s="187"/>
      <c r="C161" s="186"/>
    </row>
    <row r="162" spans="2:3" x14ac:dyDescent="0.3">
      <c r="B162" s="187"/>
      <c r="C162" s="186"/>
    </row>
    <row r="163" spans="2:3" x14ac:dyDescent="0.3">
      <c r="B163" s="187"/>
      <c r="C163" s="186"/>
    </row>
    <row r="164" spans="2:3" x14ac:dyDescent="0.3">
      <c r="B164" s="187"/>
      <c r="C164" s="186"/>
    </row>
    <row r="165" spans="2:3" x14ac:dyDescent="0.3">
      <c r="B165" s="187"/>
      <c r="C165" s="186"/>
    </row>
    <row r="166" spans="2:3" x14ac:dyDescent="0.3">
      <c r="B166" s="187"/>
      <c r="C166" s="186"/>
    </row>
    <row r="167" spans="2:3" x14ac:dyDescent="0.3">
      <c r="B167" s="187"/>
      <c r="C167" s="186"/>
    </row>
    <row r="168" spans="2:3" x14ac:dyDescent="0.3">
      <c r="B168" s="187"/>
      <c r="C168" s="186"/>
    </row>
    <row r="169" spans="2:3" x14ac:dyDescent="0.3">
      <c r="B169" s="187"/>
      <c r="C169" s="186"/>
    </row>
    <row r="170" spans="2:3" x14ac:dyDescent="0.3">
      <c r="B170" s="187"/>
      <c r="C170" s="186"/>
    </row>
    <row r="171" spans="2:3" x14ac:dyDescent="0.3">
      <c r="B171" s="187"/>
      <c r="C171" s="186"/>
    </row>
    <row r="172" spans="2:3" x14ac:dyDescent="0.3">
      <c r="B172" s="187"/>
      <c r="C172" s="186"/>
    </row>
    <row r="173" spans="2:3" x14ac:dyDescent="0.3">
      <c r="B173" s="187"/>
      <c r="C173" s="186"/>
    </row>
    <row r="174" spans="2:3" x14ac:dyDescent="0.3">
      <c r="B174" s="187"/>
      <c r="C174" s="186"/>
    </row>
    <row r="175" spans="2:3" x14ac:dyDescent="0.3">
      <c r="B175" s="187"/>
      <c r="C175" s="186"/>
    </row>
    <row r="176" spans="2:3" x14ac:dyDescent="0.3">
      <c r="B176" s="187"/>
      <c r="C176" s="186"/>
    </row>
    <row r="177" spans="2:3" x14ac:dyDescent="0.3">
      <c r="B177" s="187"/>
      <c r="C177" s="186"/>
    </row>
    <row r="178" spans="2:3" x14ac:dyDescent="0.3">
      <c r="B178" s="187"/>
      <c r="C178" s="186"/>
    </row>
    <row r="179" spans="2:3" x14ac:dyDescent="0.3">
      <c r="B179" s="187"/>
      <c r="C179" s="186"/>
    </row>
    <row r="180" spans="2:3" x14ac:dyDescent="0.3">
      <c r="B180" s="187"/>
      <c r="C180" s="186"/>
    </row>
    <row r="181" spans="2:3" x14ac:dyDescent="0.3">
      <c r="B181" s="187"/>
      <c r="C181" s="186"/>
    </row>
    <row r="182" spans="2:3" x14ac:dyDescent="0.3">
      <c r="B182" s="187"/>
      <c r="C182" s="186"/>
    </row>
    <row r="183" spans="2:3" x14ac:dyDescent="0.3">
      <c r="B183" s="187"/>
      <c r="C183" s="186"/>
    </row>
    <row r="184" spans="2:3" x14ac:dyDescent="0.3">
      <c r="B184" s="187"/>
      <c r="C184" s="186"/>
    </row>
    <row r="185" spans="2:3" x14ac:dyDescent="0.3">
      <c r="B185" s="187"/>
      <c r="C185" s="186"/>
    </row>
    <row r="186" spans="2:3" x14ac:dyDescent="0.3">
      <c r="B186" s="187"/>
      <c r="C186" s="186"/>
    </row>
    <row r="187" spans="2:3" x14ac:dyDescent="0.3">
      <c r="B187" s="187"/>
      <c r="C187" s="186"/>
    </row>
    <row r="188" spans="2:3" x14ac:dyDescent="0.3">
      <c r="B188" s="187"/>
      <c r="C188" s="186"/>
    </row>
    <row r="189" spans="2:3" x14ac:dyDescent="0.3">
      <c r="B189" s="187"/>
      <c r="C189" s="186"/>
    </row>
    <row r="190" spans="2:3" x14ac:dyDescent="0.3">
      <c r="B190" s="187"/>
      <c r="C190" s="186"/>
    </row>
    <row r="191" spans="2:3" x14ac:dyDescent="0.3">
      <c r="B191" s="187"/>
      <c r="C191" s="186"/>
    </row>
    <row r="192" spans="2:3" x14ac:dyDescent="0.3">
      <c r="B192" s="187"/>
      <c r="C192" s="186"/>
    </row>
    <row r="193" spans="2:3" x14ac:dyDescent="0.3">
      <c r="B193" s="187"/>
      <c r="C193" s="186"/>
    </row>
    <row r="194" spans="2:3" x14ac:dyDescent="0.3">
      <c r="B194" s="187"/>
      <c r="C194" s="186"/>
    </row>
    <row r="195" spans="2:3" x14ac:dyDescent="0.3">
      <c r="B195" s="187"/>
      <c r="C195" s="186"/>
    </row>
    <row r="196" spans="2:3" x14ac:dyDescent="0.3">
      <c r="B196" s="187"/>
      <c r="C196" s="186"/>
    </row>
    <row r="197" spans="2:3" x14ac:dyDescent="0.3">
      <c r="B197" s="187"/>
      <c r="C197" s="186"/>
    </row>
    <row r="198" spans="2:3" x14ac:dyDescent="0.3">
      <c r="B198" s="187"/>
      <c r="C198" s="186"/>
    </row>
    <row r="199" spans="2:3" x14ac:dyDescent="0.3">
      <c r="B199" s="187"/>
      <c r="C199" s="186"/>
    </row>
    <row r="200" spans="2:3" x14ac:dyDescent="0.3">
      <c r="B200" s="187"/>
      <c r="C200" s="186"/>
    </row>
    <row r="201" spans="2:3" x14ac:dyDescent="0.3">
      <c r="B201" s="187"/>
      <c r="C201" s="186"/>
    </row>
    <row r="202" spans="2:3" x14ac:dyDescent="0.3">
      <c r="B202" s="187"/>
      <c r="C202" s="186"/>
    </row>
    <row r="203" spans="2:3" x14ac:dyDescent="0.3">
      <c r="B203" s="187"/>
      <c r="C203" s="186"/>
    </row>
    <row r="204" spans="2:3" x14ac:dyDescent="0.3">
      <c r="B204" s="187"/>
      <c r="C204" s="186"/>
    </row>
    <row r="205" spans="2:3" x14ac:dyDescent="0.3">
      <c r="B205" s="187"/>
      <c r="C205" s="186"/>
    </row>
    <row r="206" spans="2:3" x14ac:dyDescent="0.3">
      <c r="B206" s="187"/>
      <c r="C206" s="186"/>
    </row>
    <row r="207" spans="2:3" x14ac:dyDescent="0.3">
      <c r="B207" s="187"/>
      <c r="C207" s="186"/>
    </row>
    <row r="208" spans="2:3" x14ac:dyDescent="0.3">
      <c r="B208" s="187"/>
      <c r="C208" s="186"/>
    </row>
    <row r="209" spans="2:3" x14ac:dyDescent="0.3">
      <c r="B209" s="187"/>
      <c r="C209" s="186"/>
    </row>
    <row r="210" spans="2:3" x14ac:dyDescent="0.3">
      <c r="B210" s="187"/>
      <c r="C210" s="186"/>
    </row>
    <row r="211" spans="2:3" x14ac:dyDescent="0.3">
      <c r="B211" s="187"/>
      <c r="C211" s="186"/>
    </row>
    <row r="212" spans="2:3" x14ac:dyDescent="0.3">
      <c r="B212" s="187"/>
      <c r="C212" s="186"/>
    </row>
    <row r="213" spans="2:3" x14ac:dyDescent="0.3">
      <c r="B213" s="187"/>
      <c r="C213" s="186"/>
    </row>
    <row r="214" spans="2:3" x14ac:dyDescent="0.3">
      <c r="B214" s="187"/>
      <c r="C214" s="186"/>
    </row>
    <row r="215" spans="2:3" x14ac:dyDescent="0.3">
      <c r="B215" s="187"/>
      <c r="C215" s="186"/>
    </row>
    <row r="216" spans="2:3" x14ac:dyDescent="0.3">
      <c r="B216" s="187"/>
      <c r="C216" s="186"/>
    </row>
    <row r="217" spans="2:3" x14ac:dyDescent="0.3">
      <c r="B217" s="187"/>
      <c r="C217" s="186"/>
    </row>
    <row r="218" spans="2:3" x14ac:dyDescent="0.3">
      <c r="B218" s="187"/>
      <c r="C218" s="186"/>
    </row>
    <row r="219" spans="2:3" x14ac:dyDescent="0.3">
      <c r="B219" s="187"/>
      <c r="C219" s="186"/>
    </row>
    <row r="220" spans="2:3" x14ac:dyDescent="0.3">
      <c r="B220" s="187"/>
      <c r="C220" s="186"/>
    </row>
    <row r="221" spans="2:3" x14ac:dyDescent="0.3">
      <c r="B221" s="187"/>
      <c r="C221" s="186"/>
    </row>
    <row r="222" spans="2:3" x14ac:dyDescent="0.3">
      <c r="B222" s="187"/>
      <c r="C222" s="186"/>
    </row>
    <row r="223" spans="2:3" x14ac:dyDescent="0.3">
      <c r="B223" s="187"/>
      <c r="C223" s="186"/>
    </row>
    <row r="224" spans="2:3" x14ac:dyDescent="0.3">
      <c r="B224" s="187"/>
      <c r="C224" s="186"/>
    </row>
    <row r="225" spans="2:3" x14ac:dyDescent="0.3">
      <c r="B225" s="187"/>
      <c r="C225" s="186"/>
    </row>
    <row r="226" spans="2:3" x14ac:dyDescent="0.3">
      <c r="B226" s="187"/>
      <c r="C226" s="186"/>
    </row>
    <row r="227" spans="2:3" x14ac:dyDescent="0.3">
      <c r="B227" s="187"/>
      <c r="C227" s="186"/>
    </row>
    <row r="228" spans="2:3" x14ac:dyDescent="0.3">
      <c r="B228" s="187"/>
      <c r="C228" s="186"/>
    </row>
    <row r="229" spans="2:3" x14ac:dyDescent="0.3">
      <c r="B229" s="187"/>
      <c r="C229" s="186"/>
    </row>
    <row r="230" spans="2:3" x14ac:dyDescent="0.3">
      <c r="B230" s="187"/>
      <c r="C230" s="186"/>
    </row>
    <row r="231" spans="2:3" x14ac:dyDescent="0.3">
      <c r="B231" s="187"/>
      <c r="C231" s="186"/>
    </row>
    <row r="232" spans="2:3" x14ac:dyDescent="0.3">
      <c r="B232" s="187"/>
      <c r="C232" s="186"/>
    </row>
    <row r="233" spans="2:3" x14ac:dyDescent="0.3">
      <c r="B233" s="187"/>
      <c r="C233" s="186"/>
    </row>
    <row r="234" spans="2:3" x14ac:dyDescent="0.3">
      <c r="B234" s="187"/>
      <c r="C234" s="186"/>
    </row>
    <row r="235" spans="2:3" x14ac:dyDescent="0.3">
      <c r="B235" s="187"/>
      <c r="C235" s="186"/>
    </row>
    <row r="236" spans="2:3" x14ac:dyDescent="0.3">
      <c r="B236" s="187"/>
      <c r="C236" s="186"/>
    </row>
    <row r="237" spans="2:3" x14ac:dyDescent="0.3">
      <c r="B237" s="187"/>
      <c r="C237" s="186"/>
    </row>
    <row r="238" spans="2:3" x14ac:dyDescent="0.3">
      <c r="B238" s="187"/>
      <c r="C238" s="186"/>
    </row>
    <row r="239" spans="2:3" x14ac:dyDescent="0.3">
      <c r="B239" s="187"/>
      <c r="C239" s="186"/>
    </row>
    <row r="240" spans="2:3" x14ac:dyDescent="0.3">
      <c r="B240" s="187"/>
      <c r="C240" s="186"/>
    </row>
    <row r="241" spans="2:3" x14ac:dyDescent="0.3">
      <c r="B241" s="187"/>
      <c r="C241" s="186"/>
    </row>
    <row r="242" spans="2:3" x14ac:dyDescent="0.3">
      <c r="B242" s="187"/>
      <c r="C242" s="186"/>
    </row>
    <row r="243" spans="2:3" x14ac:dyDescent="0.3">
      <c r="B243" s="187"/>
      <c r="C243" s="186"/>
    </row>
    <row r="244" spans="2:3" x14ac:dyDescent="0.3">
      <c r="B244" s="187"/>
      <c r="C244" s="186"/>
    </row>
    <row r="245" spans="2:3" x14ac:dyDescent="0.3">
      <c r="B245" s="187"/>
      <c r="C245" s="186"/>
    </row>
    <row r="246" spans="2:3" x14ac:dyDescent="0.3">
      <c r="B246" s="187"/>
      <c r="C246" s="186"/>
    </row>
    <row r="247" spans="2:3" x14ac:dyDescent="0.3">
      <c r="B247" s="187"/>
      <c r="C247" s="186"/>
    </row>
    <row r="248" spans="2:3" x14ac:dyDescent="0.3">
      <c r="B248" s="187"/>
      <c r="C248" s="186"/>
    </row>
    <row r="249" spans="2:3" x14ac:dyDescent="0.3">
      <c r="B249" s="187"/>
      <c r="C249" s="186"/>
    </row>
    <row r="250" spans="2:3" x14ac:dyDescent="0.3">
      <c r="B250" s="187"/>
      <c r="C250" s="186"/>
    </row>
    <row r="251" spans="2:3" x14ac:dyDescent="0.3">
      <c r="B251" s="187"/>
      <c r="C251" s="186"/>
    </row>
    <row r="252" spans="2:3" x14ac:dyDescent="0.3">
      <c r="B252" s="187"/>
      <c r="C252" s="186"/>
    </row>
    <row r="253" spans="2:3" x14ac:dyDescent="0.3">
      <c r="B253" s="187"/>
      <c r="C253" s="186"/>
    </row>
    <row r="254" spans="2:3" x14ac:dyDescent="0.3">
      <c r="B254" s="187"/>
      <c r="C254" s="186"/>
    </row>
    <row r="255" spans="2:3" x14ac:dyDescent="0.3">
      <c r="B255" s="187"/>
      <c r="C255" s="186"/>
    </row>
    <row r="256" spans="2:3" x14ac:dyDescent="0.3">
      <c r="B256" s="187"/>
      <c r="C256" s="186"/>
    </row>
    <row r="257" spans="2:3" x14ac:dyDescent="0.3">
      <c r="B257" s="187"/>
      <c r="C257" s="186"/>
    </row>
    <row r="258" spans="2:3" x14ac:dyDescent="0.3">
      <c r="B258" s="187"/>
      <c r="C258" s="186"/>
    </row>
    <row r="259" spans="2:3" x14ac:dyDescent="0.3">
      <c r="B259" s="187"/>
      <c r="C259" s="186"/>
    </row>
    <row r="260" spans="2:3" x14ac:dyDescent="0.3">
      <c r="B260" s="187"/>
      <c r="C260" s="186"/>
    </row>
    <row r="261" spans="2:3" x14ac:dyDescent="0.3">
      <c r="B261" s="187"/>
      <c r="C261" s="186"/>
    </row>
    <row r="262" spans="2:3" x14ac:dyDescent="0.3">
      <c r="B262" s="187"/>
      <c r="C262" s="186"/>
    </row>
    <row r="263" spans="2:3" x14ac:dyDescent="0.3">
      <c r="B263" s="187"/>
      <c r="C263" s="186"/>
    </row>
    <row r="264" spans="2:3" x14ac:dyDescent="0.3">
      <c r="B264" s="187"/>
      <c r="C264" s="186"/>
    </row>
    <row r="265" spans="2:3" x14ac:dyDescent="0.3">
      <c r="B265" s="187"/>
      <c r="C265" s="186"/>
    </row>
    <row r="266" spans="2:3" x14ac:dyDescent="0.3">
      <c r="B266" s="187"/>
      <c r="C266" s="186"/>
    </row>
    <row r="267" spans="2:3" x14ac:dyDescent="0.3">
      <c r="B267" s="187"/>
      <c r="C267" s="186"/>
    </row>
    <row r="268" spans="2:3" x14ac:dyDescent="0.3">
      <c r="B268" s="187"/>
      <c r="C268" s="186"/>
    </row>
    <row r="269" spans="2:3" x14ac:dyDescent="0.3">
      <c r="B269" s="187"/>
      <c r="C269" s="186"/>
    </row>
    <row r="270" spans="2:3" x14ac:dyDescent="0.3">
      <c r="B270" s="187"/>
      <c r="C270" s="186"/>
    </row>
    <row r="271" spans="2:3" x14ac:dyDescent="0.3">
      <c r="B271" s="187"/>
      <c r="C271" s="186"/>
    </row>
    <row r="272" spans="2:3" x14ac:dyDescent="0.3">
      <c r="B272" s="187"/>
      <c r="C272" s="186"/>
    </row>
    <row r="273" spans="2:3" x14ac:dyDescent="0.3">
      <c r="B273" s="187"/>
      <c r="C273" s="186"/>
    </row>
    <row r="274" spans="2:3" x14ac:dyDescent="0.3">
      <c r="B274" s="187"/>
      <c r="C274" s="186"/>
    </row>
    <row r="275" spans="2:3" x14ac:dyDescent="0.3">
      <c r="B275" s="187"/>
      <c r="C275" s="186"/>
    </row>
    <row r="276" spans="2:3" x14ac:dyDescent="0.3">
      <c r="B276" s="187"/>
      <c r="C276" s="186"/>
    </row>
    <row r="277" spans="2:3" x14ac:dyDescent="0.3">
      <c r="B277" s="187"/>
      <c r="C277" s="186"/>
    </row>
    <row r="278" spans="2:3" x14ac:dyDescent="0.3">
      <c r="B278" s="187"/>
      <c r="C278" s="186"/>
    </row>
    <row r="279" spans="2:3" x14ac:dyDescent="0.3">
      <c r="B279" s="187"/>
      <c r="C279" s="186"/>
    </row>
    <row r="280" spans="2:3" x14ac:dyDescent="0.3">
      <c r="B280" s="187"/>
      <c r="C280" s="186"/>
    </row>
    <row r="281" spans="2:3" x14ac:dyDescent="0.3">
      <c r="B281" s="187"/>
      <c r="C281" s="186"/>
    </row>
    <row r="282" spans="2:3" x14ac:dyDescent="0.3">
      <c r="B282" s="187"/>
      <c r="C282" s="186"/>
    </row>
    <row r="283" spans="2:3" x14ac:dyDescent="0.3">
      <c r="B283" s="187"/>
      <c r="C283" s="186"/>
    </row>
    <row r="284" spans="2:3" x14ac:dyDescent="0.3">
      <c r="B284" s="187"/>
      <c r="C284" s="186"/>
    </row>
    <row r="285" spans="2:3" x14ac:dyDescent="0.3">
      <c r="B285" s="187"/>
      <c r="C285" s="186"/>
    </row>
    <row r="286" spans="2:3" x14ac:dyDescent="0.3">
      <c r="B286" s="187"/>
      <c r="C286" s="186"/>
    </row>
    <row r="287" spans="2:3" x14ac:dyDescent="0.3">
      <c r="B287" s="187"/>
      <c r="C287" s="186"/>
    </row>
    <row r="288" spans="2:3" x14ac:dyDescent="0.3">
      <c r="B288" s="187"/>
      <c r="C288" s="186"/>
    </row>
    <row r="289" spans="2:3" x14ac:dyDescent="0.3">
      <c r="B289" s="187"/>
      <c r="C289" s="186"/>
    </row>
    <row r="290" spans="2:3" x14ac:dyDescent="0.3">
      <c r="B290" s="187"/>
      <c r="C290" s="186"/>
    </row>
    <row r="291" spans="2:3" x14ac:dyDescent="0.3">
      <c r="B291" s="187"/>
      <c r="C291" s="186"/>
    </row>
    <row r="292" spans="2:3" x14ac:dyDescent="0.3">
      <c r="B292" s="187"/>
      <c r="C292" s="186"/>
    </row>
    <row r="293" spans="2:3" x14ac:dyDescent="0.3">
      <c r="B293" s="187"/>
      <c r="C293" s="186"/>
    </row>
    <row r="294" spans="2:3" x14ac:dyDescent="0.3">
      <c r="B294" s="187"/>
      <c r="C294" s="186"/>
    </row>
    <row r="295" spans="2:3" x14ac:dyDescent="0.3">
      <c r="B295" s="187"/>
      <c r="C295" s="186"/>
    </row>
    <row r="296" spans="2:3" x14ac:dyDescent="0.3">
      <c r="B296" s="187"/>
      <c r="C296" s="186"/>
    </row>
    <row r="297" spans="2:3" x14ac:dyDescent="0.3">
      <c r="B297" s="187"/>
      <c r="C297" s="186"/>
    </row>
    <row r="298" spans="2:3" x14ac:dyDescent="0.3">
      <c r="B298" s="187"/>
      <c r="C298" s="186"/>
    </row>
    <row r="299" spans="2:3" x14ac:dyDescent="0.3">
      <c r="B299" s="187"/>
      <c r="C299" s="186"/>
    </row>
    <row r="300" spans="2:3" x14ac:dyDescent="0.3">
      <c r="B300" s="187"/>
      <c r="C300" s="186"/>
    </row>
    <row r="301" spans="2:3" x14ac:dyDescent="0.3">
      <c r="B301" s="187"/>
      <c r="C301" s="186"/>
    </row>
    <row r="302" spans="2:3" x14ac:dyDescent="0.3">
      <c r="B302" s="187"/>
      <c r="C302" s="186"/>
    </row>
    <row r="303" spans="2:3" x14ac:dyDescent="0.3">
      <c r="B303" s="187"/>
      <c r="C303" s="186"/>
    </row>
    <row r="304" spans="2:3" x14ac:dyDescent="0.3">
      <c r="B304" s="187"/>
      <c r="C304" s="186"/>
    </row>
    <row r="305" spans="2:3" x14ac:dyDescent="0.3">
      <c r="B305" s="187"/>
      <c r="C305" s="186"/>
    </row>
    <row r="306" spans="2:3" x14ac:dyDescent="0.3">
      <c r="B306" s="187"/>
      <c r="C306" s="186"/>
    </row>
    <row r="307" spans="2:3" x14ac:dyDescent="0.3">
      <c r="B307" s="187"/>
      <c r="C307" s="186"/>
    </row>
    <row r="308" spans="2:3" x14ac:dyDescent="0.3">
      <c r="B308" s="187"/>
      <c r="C308" s="186"/>
    </row>
    <row r="309" spans="2:3" x14ac:dyDescent="0.3">
      <c r="B309" s="187"/>
      <c r="C309" s="186"/>
    </row>
    <row r="310" spans="2:3" x14ac:dyDescent="0.3">
      <c r="B310" s="187"/>
      <c r="C310" s="186"/>
    </row>
    <row r="311" spans="2:3" x14ac:dyDescent="0.3">
      <c r="B311" s="187"/>
      <c r="C311" s="186"/>
    </row>
    <row r="312" spans="2:3" x14ac:dyDescent="0.3">
      <c r="B312" s="187"/>
      <c r="C312" s="186"/>
    </row>
    <row r="313" spans="2:3" x14ac:dyDescent="0.3">
      <c r="B313" s="187"/>
      <c r="C313" s="186"/>
    </row>
    <row r="314" spans="2:3" x14ac:dyDescent="0.3">
      <c r="B314" s="187"/>
      <c r="C314" s="186"/>
    </row>
    <row r="315" spans="2:3" x14ac:dyDescent="0.3">
      <c r="B315" s="187"/>
      <c r="C315" s="186"/>
    </row>
    <row r="316" spans="2:3" x14ac:dyDescent="0.3">
      <c r="B316" s="187"/>
      <c r="C316" s="186"/>
    </row>
    <row r="317" spans="2:3" x14ac:dyDescent="0.3">
      <c r="B317" s="187"/>
      <c r="C317" s="186"/>
    </row>
    <row r="318" spans="2:3" x14ac:dyDescent="0.3">
      <c r="B318" s="187"/>
      <c r="C318" s="186"/>
    </row>
    <row r="319" spans="2:3" x14ac:dyDescent="0.3">
      <c r="B319" s="187"/>
      <c r="C319" s="186"/>
    </row>
    <row r="320" spans="2:3" x14ac:dyDescent="0.3">
      <c r="B320" s="187"/>
      <c r="C320" s="186"/>
    </row>
    <row r="321" spans="2:3" x14ac:dyDescent="0.3">
      <c r="B321" s="187"/>
      <c r="C321" s="186"/>
    </row>
    <row r="322" spans="2:3" x14ac:dyDescent="0.3">
      <c r="B322" s="187"/>
      <c r="C322" s="186"/>
    </row>
    <row r="323" spans="2:3" x14ac:dyDescent="0.3">
      <c r="B323" s="187"/>
      <c r="C323" s="186"/>
    </row>
    <row r="324" spans="2:3" x14ac:dyDescent="0.3">
      <c r="B324" s="187"/>
      <c r="C324" s="186"/>
    </row>
    <row r="325" spans="2:3" x14ac:dyDescent="0.3">
      <c r="B325" s="187"/>
      <c r="C325" s="186"/>
    </row>
    <row r="326" spans="2:3" x14ac:dyDescent="0.3">
      <c r="B326" s="187"/>
      <c r="C326" s="186"/>
    </row>
    <row r="327" spans="2:3" x14ac:dyDescent="0.3">
      <c r="B327" s="187"/>
      <c r="C327" s="186"/>
    </row>
    <row r="328" spans="2:3" x14ac:dyDescent="0.3">
      <c r="B328" s="187"/>
      <c r="C328" s="186"/>
    </row>
    <row r="329" spans="2:3" x14ac:dyDescent="0.3">
      <c r="B329" s="187"/>
      <c r="C329" s="186"/>
    </row>
    <row r="330" spans="2:3" x14ac:dyDescent="0.3">
      <c r="B330" s="187"/>
      <c r="C330" s="186"/>
    </row>
    <row r="331" spans="2:3" x14ac:dyDescent="0.3">
      <c r="B331" s="187"/>
      <c r="C331" s="186"/>
    </row>
    <row r="332" spans="2:3" x14ac:dyDescent="0.3">
      <c r="B332" s="187"/>
      <c r="C332" s="186"/>
    </row>
    <row r="333" spans="2:3" x14ac:dyDescent="0.3">
      <c r="B333" s="187"/>
      <c r="C333" s="186"/>
    </row>
    <row r="334" spans="2:3" x14ac:dyDescent="0.3">
      <c r="B334" s="187"/>
      <c r="C334" s="186"/>
    </row>
    <row r="335" spans="2:3" x14ac:dyDescent="0.3">
      <c r="B335" s="187"/>
      <c r="C335" s="186"/>
    </row>
    <row r="336" spans="2:3" x14ac:dyDescent="0.3">
      <c r="B336" s="187"/>
      <c r="C336" s="186"/>
    </row>
    <row r="337" spans="2:3" x14ac:dyDescent="0.3">
      <c r="B337" s="187"/>
      <c r="C337" s="186"/>
    </row>
    <row r="338" spans="2:3" x14ac:dyDescent="0.3">
      <c r="B338" s="187"/>
      <c r="C338" s="186"/>
    </row>
    <row r="339" spans="2:3" x14ac:dyDescent="0.3">
      <c r="B339" s="187"/>
      <c r="C339" s="186"/>
    </row>
    <row r="340" spans="2:3" x14ac:dyDescent="0.3">
      <c r="B340" s="187"/>
      <c r="C340" s="186"/>
    </row>
    <row r="341" spans="2:3" x14ac:dyDescent="0.3">
      <c r="B341" s="187"/>
      <c r="C341" s="186"/>
    </row>
    <row r="342" spans="2:3" x14ac:dyDescent="0.3">
      <c r="B342" s="187"/>
      <c r="C342" s="186"/>
    </row>
    <row r="343" spans="2:3" x14ac:dyDescent="0.3">
      <c r="B343" s="187"/>
      <c r="C343" s="186"/>
    </row>
    <row r="344" spans="2:3" x14ac:dyDescent="0.3">
      <c r="B344" s="187"/>
      <c r="C344" s="186"/>
    </row>
    <row r="345" spans="2:3" x14ac:dyDescent="0.3">
      <c r="B345" s="187"/>
      <c r="C345" s="186"/>
    </row>
    <row r="346" spans="2:3" x14ac:dyDescent="0.3">
      <c r="B346" s="187"/>
      <c r="C346" s="186"/>
    </row>
    <row r="347" spans="2:3" x14ac:dyDescent="0.3">
      <c r="B347" s="187"/>
      <c r="C347" s="186"/>
    </row>
    <row r="348" spans="2:3" x14ac:dyDescent="0.3">
      <c r="B348" s="187"/>
      <c r="C348" s="186"/>
    </row>
    <row r="349" spans="2:3" x14ac:dyDescent="0.3">
      <c r="B349" s="187"/>
      <c r="C349" s="186"/>
    </row>
    <row r="350" spans="2:3" x14ac:dyDescent="0.3">
      <c r="B350" s="187"/>
      <c r="C350" s="186"/>
    </row>
    <row r="351" spans="2:3" x14ac:dyDescent="0.3">
      <c r="B351" s="187"/>
      <c r="C351" s="186"/>
    </row>
    <row r="352" spans="2:3" x14ac:dyDescent="0.3">
      <c r="B352" s="187"/>
      <c r="C352" s="186"/>
    </row>
    <row r="353" spans="2:3" x14ac:dyDescent="0.3">
      <c r="B353" s="187"/>
      <c r="C353" s="186"/>
    </row>
    <row r="354" spans="2:3" x14ac:dyDescent="0.3">
      <c r="B354" s="187"/>
      <c r="C354" s="186"/>
    </row>
    <row r="355" spans="2:3" x14ac:dyDescent="0.3">
      <c r="B355" s="187"/>
      <c r="C355" s="186"/>
    </row>
    <row r="356" spans="2:3" x14ac:dyDescent="0.3">
      <c r="B356" s="187"/>
      <c r="C356" s="186"/>
    </row>
    <row r="357" spans="2:3" x14ac:dyDescent="0.3">
      <c r="B357" s="187"/>
      <c r="C357" s="186"/>
    </row>
    <row r="358" spans="2:3" x14ac:dyDescent="0.3">
      <c r="B358" s="187"/>
      <c r="C358" s="186"/>
    </row>
    <row r="359" spans="2:3" x14ac:dyDescent="0.3">
      <c r="B359" s="187"/>
      <c r="C359" s="186"/>
    </row>
    <row r="360" spans="2:3" x14ac:dyDescent="0.3">
      <c r="B360" s="187"/>
      <c r="C360" s="186"/>
    </row>
    <row r="361" spans="2:3" x14ac:dyDescent="0.3">
      <c r="B361" s="187"/>
      <c r="C361" s="186"/>
    </row>
    <row r="362" spans="2:3" x14ac:dyDescent="0.3">
      <c r="B362" s="187"/>
      <c r="C362" s="186"/>
    </row>
    <row r="363" spans="2:3" x14ac:dyDescent="0.3">
      <c r="B363" s="187"/>
      <c r="C363" s="186"/>
    </row>
    <row r="364" spans="2:3" x14ac:dyDescent="0.3">
      <c r="B364" s="187"/>
      <c r="C364" s="186"/>
    </row>
    <row r="365" spans="2:3" x14ac:dyDescent="0.3">
      <c r="B365" s="187"/>
      <c r="C365" s="186"/>
    </row>
    <row r="366" spans="2:3" x14ac:dyDescent="0.3">
      <c r="B366" s="187"/>
      <c r="C366" s="186"/>
    </row>
    <row r="367" spans="2:3" x14ac:dyDescent="0.3">
      <c r="B367" s="187"/>
      <c r="C367" s="186"/>
    </row>
    <row r="368" spans="2:3" x14ac:dyDescent="0.3">
      <c r="B368" s="187"/>
      <c r="C368" s="186"/>
    </row>
    <row r="369" spans="2:3" x14ac:dyDescent="0.3">
      <c r="B369" s="187"/>
      <c r="C369" s="186"/>
    </row>
    <row r="370" spans="2:3" x14ac:dyDescent="0.3">
      <c r="B370" s="187"/>
      <c r="C370" s="186"/>
    </row>
    <row r="371" spans="2:3" x14ac:dyDescent="0.3">
      <c r="B371" s="187"/>
      <c r="C371" s="186"/>
    </row>
    <row r="372" spans="2:3" x14ac:dyDescent="0.3">
      <c r="B372" s="187"/>
      <c r="C372" s="186"/>
    </row>
    <row r="373" spans="2:3" x14ac:dyDescent="0.3">
      <c r="B373" s="187"/>
      <c r="C373" s="186"/>
    </row>
    <row r="374" spans="2:3" x14ac:dyDescent="0.3">
      <c r="B374" s="187"/>
      <c r="C374" s="186"/>
    </row>
    <row r="375" spans="2:3" x14ac:dyDescent="0.3">
      <c r="B375" s="187"/>
      <c r="C375" s="186"/>
    </row>
    <row r="376" spans="2:3" x14ac:dyDescent="0.3">
      <c r="B376" s="187"/>
      <c r="C376" s="186"/>
    </row>
    <row r="377" spans="2:3" x14ac:dyDescent="0.3">
      <c r="B377" s="187"/>
      <c r="C377" s="186"/>
    </row>
    <row r="378" spans="2:3" x14ac:dyDescent="0.3">
      <c r="B378" s="187"/>
      <c r="C378" s="186"/>
    </row>
    <row r="379" spans="2:3" x14ac:dyDescent="0.3">
      <c r="B379" s="187"/>
      <c r="C379" s="186"/>
    </row>
    <row r="380" spans="2:3" x14ac:dyDescent="0.3">
      <c r="B380" s="187"/>
      <c r="C380" s="186"/>
    </row>
    <row r="381" spans="2:3" x14ac:dyDescent="0.3">
      <c r="B381" s="187"/>
      <c r="C381" s="186"/>
    </row>
    <row r="382" spans="2:3" x14ac:dyDescent="0.3">
      <c r="B382" s="187"/>
      <c r="C382" s="186"/>
    </row>
    <row r="383" spans="2:3" x14ac:dyDescent="0.3">
      <c r="B383" s="187"/>
      <c r="C383" s="186"/>
    </row>
    <row r="384" spans="2:3" x14ac:dyDescent="0.3">
      <c r="B384" s="187"/>
      <c r="C384" s="186"/>
    </row>
    <row r="385" spans="2:3" x14ac:dyDescent="0.3">
      <c r="B385" s="187"/>
      <c r="C385" s="186"/>
    </row>
    <row r="386" spans="2:3" x14ac:dyDescent="0.3">
      <c r="B386" s="187"/>
      <c r="C386" s="186"/>
    </row>
    <row r="387" spans="2:3" x14ac:dyDescent="0.3">
      <c r="B387" s="187"/>
      <c r="C387" s="186"/>
    </row>
    <row r="388" spans="2:3" x14ac:dyDescent="0.3">
      <c r="B388" s="187"/>
      <c r="C388" s="186"/>
    </row>
    <row r="389" spans="2:3" x14ac:dyDescent="0.3">
      <c r="B389" s="187"/>
      <c r="C389" s="186"/>
    </row>
    <row r="390" spans="2:3" x14ac:dyDescent="0.3">
      <c r="B390" s="187"/>
      <c r="C390" s="186"/>
    </row>
    <row r="391" spans="2:3" x14ac:dyDescent="0.3">
      <c r="B391" s="187"/>
      <c r="C391" s="186"/>
    </row>
    <row r="392" spans="2:3" x14ac:dyDescent="0.3">
      <c r="B392" s="187"/>
      <c r="C392" s="186"/>
    </row>
    <row r="393" spans="2:3" x14ac:dyDescent="0.3">
      <c r="B393" s="187"/>
      <c r="C393" s="186"/>
    </row>
    <row r="394" spans="2:3" x14ac:dyDescent="0.3">
      <c r="B394" s="187"/>
      <c r="C394" s="186"/>
    </row>
    <row r="395" spans="2:3" x14ac:dyDescent="0.3">
      <c r="B395" s="187"/>
      <c r="C395" s="186"/>
    </row>
    <row r="396" spans="2:3" x14ac:dyDescent="0.3">
      <c r="B396" s="187"/>
      <c r="C396" s="186"/>
    </row>
    <row r="397" spans="2:3" x14ac:dyDescent="0.3">
      <c r="B397" s="187"/>
      <c r="C397" s="186"/>
    </row>
    <row r="398" spans="2:3" x14ac:dyDescent="0.3">
      <c r="B398" s="187"/>
      <c r="C398" s="186"/>
    </row>
    <row r="399" spans="2:3" x14ac:dyDescent="0.3">
      <c r="B399" s="187"/>
      <c r="C399" s="186"/>
    </row>
    <row r="400" spans="2:3" x14ac:dyDescent="0.3">
      <c r="B400" s="187"/>
      <c r="C400" s="186"/>
    </row>
    <row r="401" spans="2:3" x14ac:dyDescent="0.3">
      <c r="B401" s="187"/>
      <c r="C401" s="186"/>
    </row>
    <row r="402" spans="2:3" x14ac:dyDescent="0.3">
      <c r="B402" s="187"/>
      <c r="C402" s="186"/>
    </row>
    <row r="403" spans="2:3" x14ac:dyDescent="0.3">
      <c r="B403" s="187"/>
      <c r="C403" s="186"/>
    </row>
    <row r="404" spans="2:3" x14ac:dyDescent="0.3">
      <c r="B404" s="187"/>
      <c r="C404" s="186"/>
    </row>
    <row r="405" spans="2:3" x14ac:dyDescent="0.3">
      <c r="B405" s="187"/>
      <c r="C405" s="186"/>
    </row>
    <row r="406" spans="2:3" x14ac:dyDescent="0.3">
      <c r="B406" s="187"/>
      <c r="C406" s="186"/>
    </row>
    <row r="407" spans="2:3" x14ac:dyDescent="0.3">
      <c r="B407" s="187"/>
      <c r="C407" s="186"/>
    </row>
    <row r="408" spans="2:3" x14ac:dyDescent="0.3">
      <c r="B408" s="187"/>
      <c r="C408" s="186"/>
    </row>
    <row r="409" spans="2:3" x14ac:dyDescent="0.3">
      <c r="B409" s="187"/>
      <c r="C409" s="186"/>
    </row>
    <row r="410" spans="2:3" x14ac:dyDescent="0.3">
      <c r="B410" s="187"/>
      <c r="C410" s="186"/>
    </row>
    <row r="411" spans="2:3" x14ac:dyDescent="0.3">
      <c r="B411" s="187"/>
      <c r="C411" s="186"/>
    </row>
    <row r="412" spans="2:3" x14ac:dyDescent="0.3">
      <c r="B412" s="187"/>
      <c r="C412" s="186"/>
    </row>
    <row r="413" spans="2:3" x14ac:dyDescent="0.3">
      <c r="B413" s="187"/>
      <c r="C413" s="186"/>
    </row>
    <row r="414" spans="2:3" x14ac:dyDescent="0.3">
      <c r="B414" s="187"/>
      <c r="C414" s="186"/>
    </row>
    <row r="415" spans="2:3" x14ac:dyDescent="0.3">
      <c r="B415" s="187"/>
      <c r="C415" s="186"/>
    </row>
    <row r="416" spans="2:3" x14ac:dyDescent="0.3">
      <c r="B416" s="187"/>
      <c r="C416" s="186"/>
    </row>
    <row r="417" spans="2:3" x14ac:dyDescent="0.3">
      <c r="B417" s="187"/>
      <c r="C417" s="186"/>
    </row>
    <row r="418" spans="2:3" x14ac:dyDescent="0.3">
      <c r="B418" s="187"/>
      <c r="C418" s="186"/>
    </row>
    <row r="419" spans="2:3" x14ac:dyDescent="0.3">
      <c r="B419" s="187"/>
      <c r="C419" s="186"/>
    </row>
    <row r="420" spans="2:3" x14ac:dyDescent="0.3">
      <c r="B420" s="187"/>
      <c r="C420" s="186"/>
    </row>
    <row r="421" spans="2:3" x14ac:dyDescent="0.3">
      <c r="B421" s="187"/>
      <c r="C421" s="186"/>
    </row>
    <row r="422" spans="2:3" x14ac:dyDescent="0.3">
      <c r="B422" s="187"/>
      <c r="C422" s="186"/>
    </row>
    <row r="423" spans="2:3" x14ac:dyDescent="0.3">
      <c r="B423" s="187"/>
      <c r="C423" s="186"/>
    </row>
    <row r="424" spans="2:3" x14ac:dyDescent="0.3">
      <c r="B424" s="187"/>
      <c r="C424" s="186"/>
    </row>
    <row r="425" spans="2:3" x14ac:dyDescent="0.3">
      <c r="B425" s="187"/>
      <c r="C425" s="186"/>
    </row>
    <row r="426" spans="2:3" x14ac:dyDescent="0.3">
      <c r="B426" s="187"/>
      <c r="C426" s="186"/>
    </row>
    <row r="427" spans="2:3" x14ac:dyDescent="0.3">
      <c r="B427" s="187"/>
      <c r="C427" s="186"/>
    </row>
    <row r="428" spans="2:3" x14ac:dyDescent="0.3">
      <c r="B428" s="187"/>
      <c r="C428" s="186"/>
    </row>
    <row r="429" spans="2:3" x14ac:dyDescent="0.3">
      <c r="B429" s="187"/>
      <c r="C429" s="186"/>
    </row>
    <row r="430" spans="2:3" x14ac:dyDescent="0.3">
      <c r="B430" s="187"/>
      <c r="C430" s="186"/>
    </row>
    <row r="431" spans="2:3" x14ac:dyDescent="0.3">
      <c r="B431" s="187"/>
      <c r="C431" s="186"/>
    </row>
    <row r="432" spans="2:3" x14ac:dyDescent="0.3">
      <c r="B432" s="187"/>
      <c r="C432" s="186"/>
    </row>
    <row r="433" spans="2:3" x14ac:dyDescent="0.3">
      <c r="B433" s="187"/>
      <c r="C433" s="186"/>
    </row>
    <row r="434" spans="2:3" x14ac:dyDescent="0.3">
      <c r="B434" s="187"/>
      <c r="C434" s="186"/>
    </row>
    <row r="435" spans="2:3" x14ac:dyDescent="0.3">
      <c r="B435" s="187"/>
      <c r="C435" s="186"/>
    </row>
    <row r="436" spans="2:3" x14ac:dyDescent="0.3">
      <c r="B436" s="187"/>
      <c r="C436" s="186"/>
    </row>
    <row r="437" spans="2:3" x14ac:dyDescent="0.3">
      <c r="B437" s="187"/>
      <c r="C437" s="186"/>
    </row>
    <row r="438" spans="2:3" x14ac:dyDescent="0.3">
      <c r="B438" s="187"/>
      <c r="C438" s="186"/>
    </row>
    <row r="439" spans="2:3" x14ac:dyDescent="0.3">
      <c r="B439" s="187"/>
      <c r="C439" s="186"/>
    </row>
    <row r="440" spans="2:3" x14ac:dyDescent="0.3">
      <c r="B440" s="187"/>
      <c r="C440" s="186"/>
    </row>
    <row r="441" spans="2:3" x14ac:dyDescent="0.3">
      <c r="B441" s="187"/>
      <c r="C441" s="186"/>
    </row>
    <row r="442" spans="2:3" x14ac:dyDescent="0.3">
      <c r="B442" s="187"/>
      <c r="C442" s="186"/>
    </row>
    <row r="443" spans="2:3" x14ac:dyDescent="0.3">
      <c r="B443" s="187"/>
      <c r="C443" s="186"/>
    </row>
    <row r="444" spans="2:3" x14ac:dyDescent="0.3">
      <c r="B444" s="187"/>
      <c r="C444" s="186"/>
    </row>
    <row r="445" spans="2:3" x14ac:dyDescent="0.3">
      <c r="B445" s="187"/>
      <c r="C445" s="186"/>
    </row>
    <row r="446" spans="2:3" x14ac:dyDescent="0.3">
      <c r="B446" s="187"/>
      <c r="C446" s="186"/>
    </row>
    <row r="447" spans="2:3" x14ac:dyDescent="0.3">
      <c r="B447" s="187"/>
      <c r="C447" s="186"/>
    </row>
    <row r="448" spans="2:3" x14ac:dyDescent="0.3">
      <c r="B448" s="187"/>
      <c r="C448" s="186"/>
    </row>
    <row r="449" spans="2:3" x14ac:dyDescent="0.3">
      <c r="B449" s="187"/>
      <c r="C449" s="186"/>
    </row>
    <row r="450" spans="2:3" x14ac:dyDescent="0.3">
      <c r="B450" s="187"/>
      <c r="C450" s="186"/>
    </row>
    <row r="451" spans="2:3" x14ac:dyDescent="0.3">
      <c r="B451" s="187"/>
      <c r="C451" s="186"/>
    </row>
    <row r="452" spans="2:3" x14ac:dyDescent="0.3">
      <c r="B452" s="187"/>
      <c r="C452" s="186"/>
    </row>
    <row r="453" spans="2:3" x14ac:dyDescent="0.3">
      <c r="B453" s="187"/>
      <c r="C453" s="186"/>
    </row>
    <row r="454" spans="2:3" x14ac:dyDescent="0.3">
      <c r="B454" s="187"/>
      <c r="C454" s="186"/>
    </row>
    <row r="455" spans="2:3" x14ac:dyDescent="0.3">
      <c r="B455" s="187"/>
      <c r="C455" s="186"/>
    </row>
    <row r="456" spans="2:3" x14ac:dyDescent="0.3">
      <c r="B456" s="187"/>
      <c r="C456" s="186"/>
    </row>
    <row r="457" spans="2:3" x14ac:dyDescent="0.3">
      <c r="B457" s="187"/>
      <c r="C457" s="186"/>
    </row>
    <row r="458" spans="2:3" x14ac:dyDescent="0.3">
      <c r="B458" s="187"/>
      <c r="C458" s="186"/>
    </row>
    <row r="459" spans="2:3" x14ac:dyDescent="0.3">
      <c r="B459" s="187"/>
      <c r="C459" s="186"/>
    </row>
    <row r="460" spans="2:3" x14ac:dyDescent="0.3">
      <c r="B460" s="187"/>
      <c r="C460" s="186"/>
    </row>
    <row r="461" spans="2:3" x14ac:dyDescent="0.3">
      <c r="B461" s="187"/>
      <c r="C461" s="186"/>
    </row>
    <row r="462" spans="2:3" x14ac:dyDescent="0.3">
      <c r="B462" s="187"/>
      <c r="C462" s="186"/>
    </row>
    <row r="463" spans="2:3" x14ac:dyDescent="0.3">
      <c r="B463" s="187"/>
      <c r="C463" s="186"/>
    </row>
    <row r="464" spans="2:3" x14ac:dyDescent="0.3">
      <c r="B464" s="187"/>
      <c r="C464" s="186"/>
    </row>
    <row r="465" spans="2:3" x14ac:dyDescent="0.3">
      <c r="B465" s="187"/>
      <c r="C465" s="186"/>
    </row>
    <row r="466" spans="2:3" x14ac:dyDescent="0.3">
      <c r="B466" s="187"/>
      <c r="C466" s="186"/>
    </row>
    <row r="467" spans="2:3" x14ac:dyDescent="0.3">
      <c r="B467" s="187"/>
      <c r="C467" s="186"/>
    </row>
    <row r="468" spans="2:3" x14ac:dyDescent="0.3">
      <c r="B468" s="187"/>
      <c r="C468" s="186"/>
    </row>
    <row r="469" spans="2:3" x14ac:dyDescent="0.3">
      <c r="B469" s="187"/>
      <c r="C469" s="186"/>
    </row>
    <row r="470" spans="2:3" x14ac:dyDescent="0.3">
      <c r="B470" s="187"/>
      <c r="C470" s="186"/>
    </row>
    <row r="471" spans="2:3" x14ac:dyDescent="0.3">
      <c r="B471" s="187"/>
      <c r="C471" s="186"/>
    </row>
    <row r="472" spans="2:3" x14ac:dyDescent="0.3">
      <c r="B472" s="187"/>
      <c r="C472" s="186"/>
    </row>
    <row r="473" spans="2:3" x14ac:dyDescent="0.3">
      <c r="B473" s="187"/>
      <c r="C473" s="186"/>
    </row>
    <row r="474" spans="2:3" x14ac:dyDescent="0.3">
      <c r="B474" s="187"/>
      <c r="C474" s="186"/>
    </row>
    <row r="475" spans="2:3" x14ac:dyDescent="0.3">
      <c r="B475" s="187"/>
      <c r="C475" s="186"/>
    </row>
    <row r="476" spans="2:3" x14ac:dyDescent="0.3">
      <c r="B476" s="187"/>
      <c r="C476" s="186"/>
    </row>
    <row r="477" spans="2:3" x14ac:dyDescent="0.3">
      <c r="B477" s="187"/>
      <c r="C477" s="186"/>
    </row>
    <row r="478" spans="2:3" x14ac:dyDescent="0.3">
      <c r="B478" s="187"/>
      <c r="C478" s="186"/>
    </row>
    <row r="479" spans="2:3" x14ac:dyDescent="0.3">
      <c r="B479" s="187"/>
      <c r="C479" s="186"/>
    </row>
    <row r="480" spans="2:3" x14ac:dyDescent="0.3">
      <c r="B480" s="187"/>
      <c r="C480" s="186"/>
    </row>
    <row r="481" spans="2:3" x14ac:dyDescent="0.3">
      <c r="B481" s="187"/>
      <c r="C481" s="186"/>
    </row>
    <row r="482" spans="2:3" x14ac:dyDescent="0.3">
      <c r="B482" s="187"/>
      <c r="C482" s="186"/>
    </row>
    <row r="483" spans="2:3" x14ac:dyDescent="0.3">
      <c r="B483" s="187"/>
      <c r="C483" s="186"/>
    </row>
    <row r="484" spans="2:3" x14ac:dyDescent="0.3">
      <c r="B484" s="187"/>
      <c r="C484" s="186"/>
    </row>
    <row r="485" spans="2:3" x14ac:dyDescent="0.3">
      <c r="B485" s="187"/>
      <c r="C485" s="186"/>
    </row>
    <row r="486" spans="2:3" x14ac:dyDescent="0.3">
      <c r="B486" s="187"/>
      <c r="C486" s="186"/>
    </row>
    <row r="487" spans="2:3" x14ac:dyDescent="0.3">
      <c r="B487" s="187"/>
      <c r="C487" s="186"/>
    </row>
    <row r="488" spans="2:3" x14ac:dyDescent="0.3">
      <c r="B488" s="187"/>
      <c r="C488" s="186"/>
    </row>
    <row r="489" spans="2:3" x14ac:dyDescent="0.3">
      <c r="B489" s="187"/>
      <c r="C489" s="186"/>
    </row>
    <row r="490" spans="2:3" x14ac:dyDescent="0.3">
      <c r="B490" s="187"/>
      <c r="C490" s="186"/>
    </row>
    <row r="491" spans="2:3" x14ac:dyDescent="0.3">
      <c r="B491" s="187"/>
      <c r="C491" s="186"/>
    </row>
    <row r="492" spans="2:3" x14ac:dyDescent="0.3">
      <c r="B492" s="187"/>
      <c r="C492" s="186"/>
    </row>
    <row r="493" spans="2:3" x14ac:dyDescent="0.3">
      <c r="B493" s="187"/>
      <c r="C493" s="186"/>
    </row>
    <row r="494" spans="2:3" x14ac:dyDescent="0.3">
      <c r="B494" s="187"/>
      <c r="C494" s="186"/>
    </row>
    <row r="495" spans="2:3" x14ac:dyDescent="0.3">
      <c r="B495" s="187"/>
      <c r="C495" s="186"/>
    </row>
    <row r="496" spans="2:3" x14ac:dyDescent="0.3">
      <c r="B496" s="187"/>
      <c r="C496" s="186"/>
    </row>
    <row r="497" spans="2:3" x14ac:dyDescent="0.3">
      <c r="B497" s="187"/>
      <c r="C497" s="186"/>
    </row>
    <row r="498" spans="2:3" x14ac:dyDescent="0.3">
      <c r="B498" s="187"/>
      <c r="C498" s="186"/>
    </row>
    <row r="499" spans="2:3" x14ac:dyDescent="0.3">
      <c r="B499" s="187"/>
      <c r="C499" s="186"/>
    </row>
    <row r="500" spans="2:3" x14ac:dyDescent="0.3">
      <c r="B500" s="187"/>
      <c r="C500" s="186"/>
    </row>
    <row r="501" spans="2:3" x14ac:dyDescent="0.3">
      <c r="B501" s="187"/>
      <c r="C501" s="186"/>
    </row>
    <row r="502" spans="2:3" x14ac:dyDescent="0.3">
      <c r="B502" s="187"/>
      <c r="C502" s="186"/>
    </row>
    <row r="503" spans="2:3" x14ac:dyDescent="0.3">
      <c r="B503" s="187"/>
      <c r="C503" s="186"/>
    </row>
    <row r="504" spans="2:3" x14ac:dyDescent="0.3">
      <c r="B504" s="187"/>
      <c r="C504" s="186"/>
    </row>
    <row r="505" spans="2:3" x14ac:dyDescent="0.3">
      <c r="B505" s="187"/>
      <c r="C505" s="186"/>
    </row>
    <row r="506" spans="2:3" x14ac:dyDescent="0.3">
      <c r="B506" s="187"/>
      <c r="C506" s="186"/>
    </row>
    <row r="507" spans="2:3" x14ac:dyDescent="0.3">
      <c r="B507" s="187"/>
      <c r="C507" s="186"/>
    </row>
    <row r="508" spans="2:3" x14ac:dyDescent="0.3">
      <c r="B508" s="187"/>
      <c r="C508" s="186"/>
    </row>
    <row r="509" spans="2:3" x14ac:dyDescent="0.3">
      <c r="B509" s="187"/>
      <c r="C509" s="186"/>
    </row>
    <row r="510" spans="2:3" x14ac:dyDescent="0.3">
      <c r="B510" s="187"/>
      <c r="C510" s="186"/>
    </row>
    <row r="511" spans="2:3" x14ac:dyDescent="0.3">
      <c r="B511" s="187"/>
      <c r="C511" s="186"/>
    </row>
    <row r="512" spans="2:3" x14ac:dyDescent="0.3">
      <c r="B512" s="187"/>
      <c r="C512" s="186"/>
    </row>
    <row r="513" spans="2:3" x14ac:dyDescent="0.3">
      <c r="B513" s="187"/>
      <c r="C513" s="186"/>
    </row>
    <row r="514" spans="2:3" x14ac:dyDescent="0.3">
      <c r="B514" s="187"/>
      <c r="C514" s="186"/>
    </row>
    <row r="515" spans="2:3" x14ac:dyDescent="0.3">
      <c r="B515" s="187"/>
      <c r="C515" s="186"/>
    </row>
    <row r="516" spans="2:3" x14ac:dyDescent="0.3">
      <c r="B516" s="187"/>
      <c r="C516" s="186"/>
    </row>
    <row r="517" spans="2:3" x14ac:dyDescent="0.3">
      <c r="B517" s="187"/>
      <c r="C517" s="186"/>
    </row>
    <row r="518" spans="2:3" x14ac:dyDescent="0.3">
      <c r="B518" s="187"/>
      <c r="C518" s="186"/>
    </row>
    <row r="519" spans="2:3" x14ac:dyDescent="0.3">
      <c r="B519" s="187"/>
      <c r="C519" s="186"/>
    </row>
    <row r="520" spans="2:3" x14ac:dyDescent="0.3">
      <c r="B520" s="187"/>
      <c r="C520" s="186"/>
    </row>
    <row r="521" spans="2:3" x14ac:dyDescent="0.3">
      <c r="B521" s="187"/>
      <c r="C521" s="186"/>
    </row>
    <row r="522" spans="2:3" x14ac:dyDescent="0.3">
      <c r="B522" s="187"/>
      <c r="C522" s="186"/>
    </row>
    <row r="523" spans="2:3" x14ac:dyDescent="0.3">
      <c r="B523" s="187"/>
      <c r="C523" s="186"/>
    </row>
    <row r="524" spans="2:3" x14ac:dyDescent="0.3">
      <c r="B524" s="187"/>
      <c r="C524" s="186"/>
    </row>
    <row r="525" spans="2:3" x14ac:dyDescent="0.3">
      <c r="B525" s="187"/>
      <c r="C525" s="186"/>
    </row>
    <row r="526" spans="2:3" x14ac:dyDescent="0.3">
      <c r="B526" s="187"/>
      <c r="C526" s="186"/>
    </row>
    <row r="527" spans="2:3" x14ac:dyDescent="0.3">
      <c r="B527" s="187"/>
      <c r="C527" s="186"/>
    </row>
    <row r="528" spans="2:3" x14ac:dyDescent="0.3">
      <c r="B528" s="187"/>
      <c r="C528" s="186"/>
    </row>
    <row r="529" spans="2:3" x14ac:dyDescent="0.3">
      <c r="B529" s="187"/>
      <c r="C529" s="186"/>
    </row>
    <row r="530" spans="2:3" x14ac:dyDescent="0.3">
      <c r="B530" s="187"/>
      <c r="C530" s="186"/>
    </row>
    <row r="531" spans="2:3" x14ac:dyDescent="0.3">
      <c r="B531" s="187"/>
      <c r="C531" s="186"/>
    </row>
    <row r="532" spans="2:3" x14ac:dyDescent="0.3">
      <c r="B532" s="187"/>
      <c r="C532" s="186"/>
    </row>
    <row r="533" spans="2:3" x14ac:dyDescent="0.3">
      <c r="B533" s="187"/>
      <c r="C533" s="186"/>
    </row>
    <row r="534" spans="2:3" x14ac:dyDescent="0.3">
      <c r="B534" s="187"/>
      <c r="C534" s="186"/>
    </row>
    <row r="535" spans="2:3" x14ac:dyDescent="0.3">
      <c r="B535" s="187"/>
      <c r="C535" s="186"/>
    </row>
    <row r="536" spans="2:3" x14ac:dyDescent="0.3">
      <c r="B536" s="187"/>
      <c r="C536" s="186"/>
    </row>
    <row r="537" spans="2:3" x14ac:dyDescent="0.3">
      <c r="B537" s="187"/>
      <c r="C537" s="186"/>
    </row>
    <row r="538" spans="2:3" x14ac:dyDescent="0.3">
      <c r="B538" s="187"/>
      <c r="C538" s="186"/>
    </row>
    <row r="539" spans="2:3" x14ac:dyDescent="0.3">
      <c r="B539" s="187"/>
      <c r="C539" s="186"/>
    </row>
    <row r="540" spans="2:3" x14ac:dyDescent="0.3">
      <c r="B540" s="187"/>
      <c r="C540" s="186"/>
    </row>
    <row r="541" spans="2:3" x14ac:dyDescent="0.3">
      <c r="B541" s="187"/>
      <c r="C541" s="186"/>
    </row>
    <row r="542" spans="2:3" x14ac:dyDescent="0.3">
      <c r="B542" s="187"/>
      <c r="C542" s="186"/>
    </row>
    <row r="543" spans="2:3" x14ac:dyDescent="0.3">
      <c r="B543" s="187"/>
      <c r="C543" s="186"/>
    </row>
    <row r="544" spans="2:3" x14ac:dyDescent="0.3">
      <c r="B544" s="187"/>
      <c r="C544" s="186"/>
    </row>
    <row r="545" spans="2:3" x14ac:dyDescent="0.3">
      <c r="B545" s="187"/>
      <c r="C545" s="186"/>
    </row>
    <row r="546" spans="2:3" x14ac:dyDescent="0.3">
      <c r="B546" s="187"/>
      <c r="C546" s="186"/>
    </row>
    <row r="547" spans="2:3" x14ac:dyDescent="0.3">
      <c r="B547" s="187"/>
      <c r="C547" s="186"/>
    </row>
    <row r="548" spans="2:3" x14ac:dyDescent="0.3">
      <c r="B548" s="187"/>
      <c r="C548" s="186"/>
    </row>
    <row r="549" spans="2:3" x14ac:dyDescent="0.3">
      <c r="B549" s="187"/>
      <c r="C549" s="186"/>
    </row>
    <row r="550" spans="2:3" x14ac:dyDescent="0.3">
      <c r="B550" s="187"/>
      <c r="C550" s="186"/>
    </row>
    <row r="551" spans="2:3" x14ac:dyDescent="0.3">
      <c r="B551" s="187"/>
      <c r="C551" s="186"/>
    </row>
    <row r="552" spans="2:3" x14ac:dyDescent="0.3">
      <c r="B552" s="187"/>
      <c r="C552" s="186"/>
    </row>
    <row r="553" spans="2:3" x14ac:dyDescent="0.3">
      <c r="B553" s="187"/>
      <c r="C553" s="186"/>
    </row>
    <row r="554" spans="2:3" x14ac:dyDescent="0.3">
      <c r="B554" s="187"/>
      <c r="C554" s="186"/>
    </row>
    <row r="555" spans="2:3" x14ac:dyDescent="0.3">
      <c r="B555" s="187"/>
      <c r="C555" s="186"/>
    </row>
    <row r="556" spans="2:3" x14ac:dyDescent="0.3">
      <c r="B556" s="187"/>
      <c r="C556" s="186"/>
    </row>
    <row r="557" spans="2:3" x14ac:dyDescent="0.3">
      <c r="B557" s="187"/>
      <c r="C557" s="186"/>
    </row>
    <row r="558" spans="2:3" x14ac:dyDescent="0.3">
      <c r="B558" s="187"/>
      <c r="C558" s="186"/>
    </row>
    <row r="559" spans="2:3" x14ac:dyDescent="0.3">
      <c r="B559" s="187"/>
      <c r="C559" s="186"/>
    </row>
    <row r="560" spans="2:3" x14ac:dyDescent="0.3">
      <c r="B560" s="187"/>
      <c r="C560" s="186"/>
    </row>
    <row r="561" spans="2:3" x14ac:dyDescent="0.3">
      <c r="B561" s="187"/>
      <c r="C561" s="186"/>
    </row>
    <row r="562" spans="2:3" x14ac:dyDescent="0.3">
      <c r="B562" s="187"/>
      <c r="C562" s="186"/>
    </row>
    <row r="563" spans="2:3" x14ac:dyDescent="0.3">
      <c r="B563" s="187"/>
      <c r="C563" s="186"/>
    </row>
    <row r="564" spans="2:3" x14ac:dyDescent="0.3">
      <c r="B564" s="187"/>
      <c r="C564" s="186"/>
    </row>
    <row r="565" spans="2:3" x14ac:dyDescent="0.3">
      <c r="B565" s="187"/>
      <c r="C565" s="186"/>
    </row>
    <row r="566" spans="2:3" x14ac:dyDescent="0.3">
      <c r="B566" s="187"/>
      <c r="C566" s="186"/>
    </row>
    <row r="567" spans="2:3" x14ac:dyDescent="0.3">
      <c r="B567" s="187"/>
      <c r="C567" s="186"/>
    </row>
    <row r="568" spans="2:3" x14ac:dyDescent="0.3">
      <c r="B568" s="187"/>
      <c r="C568" s="186"/>
    </row>
    <row r="569" spans="2:3" x14ac:dyDescent="0.3">
      <c r="B569" s="187"/>
      <c r="C569" s="186"/>
    </row>
    <row r="570" spans="2:3" x14ac:dyDescent="0.3">
      <c r="B570" s="187"/>
      <c r="C570" s="186"/>
    </row>
    <row r="571" spans="2:3" x14ac:dyDescent="0.3">
      <c r="B571" s="187"/>
      <c r="C571" s="186"/>
    </row>
    <row r="572" spans="2:3" x14ac:dyDescent="0.3">
      <c r="B572" s="187"/>
      <c r="C572" s="186"/>
    </row>
    <row r="573" spans="2:3" x14ac:dyDescent="0.3">
      <c r="B573" s="187"/>
      <c r="C573" s="186"/>
    </row>
    <row r="574" spans="2:3" x14ac:dyDescent="0.3">
      <c r="B574" s="187"/>
      <c r="C574" s="186"/>
    </row>
    <row r="575" spans="2:3" x14ac:dyDescent="0.3">
      <c r="B575" s="187"/>
      <c r="C575" s="186"/>
    </row>
    <row r="576" spans="2:3" x14ac:dyDescent="0.3">
      <c r="B576" s="187"/>
      <c r="C576" s="186"/>
    </row>
    <row r="577" spans="2:3" x14ac:dyDescent="0.3">
      <c r="B577" s="187"/>
      <c r="C577" s="186"/>
    </row>
    <row r="578" spans="2:3" x14ac:dyDescent="0.3">
      <c r="B578" s="187"/>
      <c r="C578" s="186"/>
    </row>
    <row r="579" spans="2:3" x14ac:dyDescent="0.3">
      <c r="B579" s="187"/>
      <c r="C579" s="186"/>
    </row>
    <row r="580" spans="2:3" x14ac:dyDescent="0.3">
      <c r="B580" s="187"/>
      <c r="C580" s="186"/>
    </row>
    <row r="581" spans="2:3" x14ac:dyDescent="0.3">
      <c r="B581" s="187"/>
      <c r="C581" s="186"/>
    </row>
    <row r="582" spans="2:3" x14ac:dyDescent="0.3">
      <c r="B582" s="187"/>
      <c r="C582" s="186"/>
    </row>
    <row r="583" spans="2:3" x14ac:dyDescent="0.3">
      <c r="B583" s="187"/>
      <c r="C583" s="186"/>
    </row>
    <row r="584" spans="2:3" x14ac:dyDescent="0.3">
      <c r="B584" s="187"/>
      <c r="C584" s="186"/>
    </row>
    <row r="585" spans="2:3" x14ac:dyDescent="0.3">
      <c r="B585" s="187"/>
      <c r="C585" s="186"/>
    </row>
    <row r="586" spans="2:3" x14ac:dyDescent="0.3">
      <c r="B586" s="187"/>
      <c r="C586" s="186"/>
    </row>
    <row r="587" spans="2:3" x14ac:dyDescent="0.3">
      <c r="B587" s="187"/>
      <c r="C587" s="186"/>
    </row>
    <row r="588" spans="2:3" x14ac:dyDescent="0.3">
      <c r="B588" s="187"/>
      <c r="C588" s="186"/>
    </row>
    <row r="589" spans="2:3" x14ac:dyDescent="0.3">
      <c r="B589" s="187"/>
      <c r="C589" s="186"/>
    </row>
    <row r="590" spans="2:3" x14ac:dyDescent="0.3">
      <c r="B590" s="187"/>
      <c r="C590" s="186"/>
    </row>
    <row r="591" spans="2:3" x14ac:dyDescent="0.3">
      <c r="B591" s="187"/>
      <c r="C591" s="186"/>
    </row>
    <row r="592" spans="2:3" x14ac:dyDescent="0.3">
      <c r="B592" s="187"/>
      <c r="C592" s="186"/>
    </row>
    <row r="593" spans="2:3" x14ac:dyDescent="0.3">
      <c r="B593" s="187"/>
      <c r="C593" s="186"/>
    </row>
    <row r="594" spans="2:3" x14ac:dyDescent="0.3">
      <c r="B594" s="187"/>
      <c r="C594" s="186"/>
    </row>
    <row r="595" spans="2:3" x14ac:dyDescent="0.3">
      <c r="B595" s="187"/>
      <c r="C595" s="186"/>
    </row>
    <row r="596" spans="2:3" x14ac:dyDescent="0.3">
      <c r="B596" s="187"/>
      <c r="C596" s="186"/>
    </row>
    <row r="597" spans="2:3" x14ac:dyDescent="0.3">
      <c r="B597" s="187"/>
      <c r="C597" s="186"/>
    </row>
    <row r="598" spans="2:3" x14ac:dyDescent="0.3">
      <c r="B598" s="187"/>
      <c r="C598" s="186"/>
    </row>
    <row r="599" spans="2:3" x14ac:dyDescent="0.3">
      <c r="B599" s="187"/>
      <c r="C599" s="186"/>
    </row>
    <row r="600" spans="2:3" x14ac:dyDescent="0.3">
      <c r="B600" s="187"/>
      <c r="C600" s="186"/>
    </row>
    <row r="601" spans="2:3" x14ac:dyDescent="0.3">
      <c r="B601" s="187"/>
      <c r="C601" s="186"/>
    </row>
    <row r="602" spans="2:3" x14ac:dyDescent="0.3">
      <c r="B602" s="187"/>
      <c r="C602" s="186"/>
    </row>
    <row r="603" spans="2:3" x14ac:dyDescent="0.3">
      <c r="B603" s="187"/>
      <c r="C603" s="186"/>
    </row>
    <row r="604" spans="2:3" x14ac:dyDescent="0.3">
      <c r="B604" s="187"/>
      <c r="C604" s="186"/>
    </row>
    <row r="605" spans="2:3" x14ac:dyDescent="0.3">
      <c r="B605" s="187"/>
      <c r="C605" s="186"/>
    </row>
    <row r="606" spans="2:3" x14ac:dyDescent="0.3">
      <c r="B606" s="187"/>
      <c r="C606" s="186"/>
    </row>
    <row r="607" spans="2:3" x14ac:dyDescent="0.3">
      <c r="B607" s="187"/>
      <c r="C607" s="186"/>
    </row>
    <row r="608" spans="2:3" x14ac:dyDescent="0.3">
      <c r="B608" s="187"/>
      <c r="C608" s="186"/>
    </row>
    <row r="609" spans="2:3" x14ac:dyDescent="0.3">
      <c r="B609" s="187"/>
      <c r="C609" s="186"/>
    </row>
    <row r="610" spans="2:3" x14ac:dyDescent="0.3">
      <c r="B610" s="187"/>
      <c r="C610" s="186"/>
    </row>
    <row r="611" spans="2:3" x14ac:dyDescent="0.3">
      <c r="B611" s="187"/>
      <c r="C611" s="186"/>
    </row>
    <row r="612" spans="2:3" x14ac:dyDescent="0.3">
      <c r="B612" s="187"/>
      <c r="C612" s="186"/>
    </row>
    <row r="613" spans="2:3" x14ac:dyDescent="0.3">
      <c r="B613" s="187"/>
      <c r="C613" s="186"/>
    </row>
    <row r="614" spans="2:3" x14ac:dyDescent="0.3">
      <c r="B614" s="187"/>
      <c r="C614" s="186"/>
    </row>
    <row r="615" spans="2:3" x14ac:dyDescent="0.3">
      <c r="B615" s="187"/>
      <c r="C615" s="186"/>
    </row>
    <row r="616" spans="2:3" x14ac:dyDescent="0.3">
      <c r="B616" s="187"/>
      <c r="C616" s="186"/>
    </row>
    <row r="617" spans="2:3" x14ac:dyDescent="0.3">
      <c r="B617" s="187"/>
      <c r="C617" s="186"/>
    </row>
    <row r="618" spans="2:3" x14ac:dyDescent="0.3">
      <c r="B618" s="187"/>
      <c r="C618" s="186"/>
    </row>
    <row r="619" spans="2:3" x14ac:dyDescent="0.3">
      <c r="B619" s="187"/>
      <c r="C619" s="186"/>
    </row>
    <row r="620" spans="2:3" x14ac:dyDescent="0.3">
      <c r="B620" s="187"/>
      <c r="C620" s="186"/>
    </row>
    <row r="621" spans="2:3" x14ac:dyDescent="0.3">
      <c r="B621" s="187"/>
      <c r="C621" s="186"/>
    </row>
    <row r="622" spans="2:3" x14ac:dyDescent="0.3">
      <c r="B622" s="187"/>
      <c r="C622" s="186"/>
    </row>
    <row r="623" spans="2:3" x14ac:dyDescent="0.3">
      <c r="B623" s="187"/>
      <c r="C623" s="186"/>
    </row>
    <row r="624" spans="2:3" x14ac:dyDescent="0.3">
      <c r="B624" s="187"/>
      <c r="C624" s="186"/>
    </row>
    <row r="625" spans="2:3" x14ac:dyDescent="0.3">
      <c r="B625" s="187"/>
      <c r="C625" s="186"/>
    </row>
    <row r="626" spans="2:3" x14ac:dyDescent="0.3">
      <c r="B626" s="187"/>
      <c r="C626" s="186"/>
    </row>
    <row r="627" spans="2:3" x14ac:dyDescent="0.3">
      <c r="B627" s="187"/>
      <c r="C627" s="186"/>
    </row>
    <row r="628" spans="2:3" x14ac:dyDescent="0.3">
      <c r="B628" s="187"/>
      <c r="C628" s="186"/>
    </row>
    <row r="629" spans="2:3" x14ac:dyDescent="0.3">
      <c r="B629" s="187"/>
      <c r="C629" s="186"/>
    </row>
    <row r="630" spans="2:3" x14ac:dyDescent="0.3">
      <c r="B630" s="187"/>
      <c r="C630" s="186"/>
    </row>
    <row r="631" spans="2:3" x14ac:dyDescent="0.3">
      <c r="B631" s="187"/>
      <c r="C631" s="186"/>
    </row>
    <row r="632" spans="2:3" x14ac:dyDescent="0.3">
      <c r="B632" s="187"/>
      <c r="C632" s="186"/>
    </row>
    <row r="633" spans="2:3" x14ac:dyDescent="0.3">
      <c r="B633" s="187"/>
      <c r="C633" s="186"/>
    </row>
    <row r="634" spans="2:3" x14ac:dyDescent="0.3">
      <c r="B634" s="187"/>
      <c r="C634" s="186"/>
    </row>
    <row r="635" spans="2:3" x14ac:dyDescent="0.3">
      <c r="B635" s="187"/>
      <c r="C635" s="186"/>
    </row>
    <row r="636" spans="2:3" x14ac:dyDescent="0.3">
      <c r="B636" s="187"/>
      <c r="C636" s="186"/>
    </row>
    <row r="637" spans="2:3" x14ac:dyDescent="0.3">
      <c r="B637" s="187"/>
      <c r="C637" s="186"/>
    </row>
    <row r="638" spans="2:3" x14ac:dyDescent="0.3">
      <c r="B638" s="187"/>
      <c r="C638" s="186"/>
    </row>
    <row r="639" spans="2:3" x14ac:dyDescent="0.3">
      <c r="B639" s="187"/>
      <c r="C639" s="186"/>
    </row>
    <row r="640" spans="2:3" x14ac:dyDescent="0.3">
      <c r="B640" s="187"/>
      <c r="C640" s="186"/>
    </row>
    <row r="641" spans="2:3" x14ac:dyDescent="0.3">
      <c r="B641" s="187"/>
      <c r="C641" s="186"/>
    </row>
    <row r="642" spans="2:3" x14ac:dyDescent="0.3">
      <c r="B642" s="187"/>
      <c r="C642" s="186"/>
    </row>
    <row r="643" spans="2:3" x14ac:dyDescent="0.3">
      <c r="B643" s="187"/>
      <c r="C643" s="186"/>
    </row>
    <row r="644" spans="2:3" x14ac:dyDescent="0.3">
      <c r="B644" s="187"/>
      <c r="C644" s="186"/>
    </row>
    <row r="645" spans="2:3" x14ac:dyDescent="0.3">
      <c r="B645" s="187"/>
      <c r="C645" s="186"/>
    </row>
    <row r="646" spans="2:3" x14ac:dyDescent="0.3">
      <c r="B646" s="187"/>
      <c r="C646" s="186"/>
    </row>
    <row r="647" spans="2:3" x14ac:dyDescent="0.3">
      <c r="B647" s="187"/>
      <c r="C647" s="186"/>
    </row>
    <row r="648" spans="2:3" x14ac:dyDescent="0.3">
      <c r="B648" s="187"/>
      <c r="C648" s="186"/>
    </row>
    <row r="649" spans="2:3" x14ac:dyDescent="0.3">
      <c r="B649" s="187"/>
      <c r="C649" s="186"/>
    </row>
    <row r="650" spans="2:3" x14ac:dyDescent="0.3">
      <c r="B650" s="187"/>
      <c r="C650" s="186"/>
    </row>
    <row r="651" spans="2:3" x14ac:dyDescent="0.3">
      <c r="B651" s="187"/>
      <c r="C651" s="186"/>
    </row>
    <row r="652" spans="2:3" x14ac:dyDescent="0.3">
      <c r="B652" s="187"/>
      <c r="C652" s="186"/>
    </row>
    <row r="653" spans="2:3" x14ac:dyDescent="0.3">
      <c r="B653" s="187"/>
      <c r="C653" s="186"/>
    </row>
    <row r="654" spans="2:3" x14ac:dyDescent="0.3">
      <c r="B654" s="187"/>
      <c r="C654" s="186"/>
    </row>
    <row r="655" spans="2:3" x14ac:dyDescent="0.3">
      <c r="B655" s="187"/>
      <c r="C655" s="186"/>
    </row>
    <row r="656" spans="2:3" x14ac:dyDescent="0.3">
      <c r="B656" s="187"/>
      <c r="C656" s="186"/>
    </row>
    <row r="657" spans="2:3" x14ac:dyDescent="0.3">
      <c r="B657" s="187"/>
      <c r="C657" s="186"/>
    </row>
    <row r="658" spans="2:3" x14ac:dyDescent="0.3">
      <c r="B658" s="187"/>
      <c r="C658" s="186"/>
    </row>
    <row r="659" spans="2:3" x14ac:dyDescent="0.3">
      <c r="B659" s="187"/>
      <c r="C659" s="186"/>
    </row>
    <row r="660" spans="2:3" x14ac:dyDescent="0.3">
      <c r="B660" s="187"/>
      <c r="C660" s="186"/>
    </row>
    <row r="661" spans="2:3" x14ac:dyDescent="0.3">
      <c r="B661" s="187"/>
      <c r="C661" s="186"/>
    </row>
    <row r="662" spans="2:3" x14ac:dyDescent="0.3">
      <c r="B662" s="187"/>
      <c r="C662" s="186"/>
    </row>
    <row r="663" spans="2:3" x14ac:dyDescent="0.3">
      <c r="B663" s="187"/>
      <c r="C663" s="186"/>
    </row>
    <row r="664" spans="2:3" x14ac:dyDescent="0.3">
      <c r="B664" s="187"/>
      <c r="C664" s="186"/>
    </row>
    <row r="665" spans="2:3" x14ac:dyDescent="0.3">
      <c r="B665" s="187"/>
      <c r="C665" s="186"/>
    </row>
    <row r="666" spans="2:3" x14ac:dyDescent="0.3">
      <c r="B666" s="187"/>
      <c r="C666" s="186"/>
    </row>
    <row r="667" spans="2:3" x14ac:dyDescent="0.3">
      <c r="B667" s="187"/>
      <c r="C667" s="186"/>
    </row>
    <row r="668" spans="2:3" x14ac:dyDescent="0.3">
      <c r="B668" s="187"/>
      <c r="C668" s="186"/>
    </row>
    <row r="669" spans="2:3" x14ac:dyDescent="0.3">
      <c r="B669" s="187"/>
      <c r="C669" s="186"/>
    </row>
    <row r="670" spans="2:3" x14ac:dyDescent="0.3">
      <c r="B670" s="187"/>
      <c r="C670" s="186"/>
    </row>
    <row r="671" spans="2:3" x14ac:dyDescent="0.3">
      <c r="B671" s="187"/>
      <c r="C671" s="186"/>
    </row>
    <row r="672" spans="2:3" x14ac:dyDescent="0.3">
      <c r="B672" s="187"/>
      <c r="C672" s="186"/>
    </row>
    <row r="673" spans="2:3" x14ac:dyDescent="0.3">
      <c r="B673" s="187"/>
      <c r="C673" s="186"/>
    </row>
    <row r="674" spans="2:3" x14ac:dyDescent="0.3">
      <c r="B674" s="187"/>
      <c r="C674" s="186"/>
    </row>
    <row r="675" spans="2:3" x14ac:dyDescent="0.3">
      <c r="B675" s="187"/>
      <c r="C675" s="186"/>
    </row>
    <row r="676" spans="2:3" x14ac:dyDescent="0.3">
      <c r="B676" s="187"/>
      <c r="C676" s="186"/>
    </row>
    <row r="677" spans="2:3" x14ac:dyDescent="0.3">
      <c r="B677" s="187"/>
      <c r="C677" s="186"/>
    </row>
    <row r="678" spans="2:3" x14ac:dyDescent="0.3">
      <c r="B678" s="187"/>
      <c r="C678" s="186"/>
    </row>
    <row r="679" spans="2:3" x14ac:dyDescent="0.3">
      <c r="B679" s="187"/>
      <c r="C679" s="186"/>
    </row>
    <row r="680" spans="2:3" x14ac:dyDescent="0.3">
      <c r="B680" s="187"/>
      <c r="C680" s="186"/>
    </row>
    <row r="681" spans="2:3" x14ac:dyDescent="0.3">
      <c r="B681" s="187"/>
      <c r="C681" s="186"/>
    </row>
    <row r="682" spans="2:3" x14ac:dyDescent="0.3">
      <c r="B682" s="187"/>
      <c r="C682" s="186"/>
    </row>
    <row r="683" spans="2:3" x14ac:dyDescent="0.3">
      <c r="B683" s="187"/>
      <c r="C683" s="186"/>
    </row>
    <row r="684" spans="2:3" x14ac:dyDescent="0.3">
      <c r="B684" s="187"/>
      <c r="C684" s="186"/>
    </row>
    <row r="685" spans="2:3" x14ac:dyDescent="0.3">
      <c r="B685" s="187"/>
      <c r="C685" s="186"/>
    </row>
    <row r="686" spans="2:3" x14ac:dyDescent="0.3">
      <c r="B686" s="187"/>
      <c r="C686" s="186"/>
    </row>
    <row r="687" spans="2:3" x14ac:dyDescent="0.3">
      <c r="B687" s="187"/>
      <c r="C687" s="186"/>
    </row>
    <row r="688" spans="2:3" x14ac:dyDescent="0.3">
      <c r="B688" s="187"/>
      <c r="C688" s="186"/>
    </row>
    <row r="689" spans="2:3" x14ac:dyDescent="0.3">
      <c r="B689" s="187"/>
      <c r="C689" s="186"/>
    </row>
    <row r="690" spans="2:3" x14ac:dyDescent="0.3">
      <c r="B690" s="187"/>
      <c r="C690" s="186"/>
    </row>
    <row r="691" spans="2:3" x14ac:dyDescent="0.3">
      <c r="B691" s="187"/>
      <c r="C691" s="186"/>
    </row>
    <row r="692" spans="2:3" x14ac:dyDescent="0.3">
      <c r="B692" s="187"/>
      <c r="C692" s="186"/>
    </row>
    <row r="693" spans="2:3" x14ac:dyDescent="0.3">
      <c r="B693" s="187"/>
      <c r="C693" s="186"/>
    </row>
    <row r="694" spans="2:3" x14ac:dyDescent="0.3">
      <c r="B694" s="187"/>
      <c r="C694" s="186"/>
    </row>
    <row r="695" spans="2:3" x14ac:dyDescent="0.3">
      <c r="B695" s="187"/>
      <c r="C695" s="186"/>
    </row>
    <row r="696" spans="2:3" x14ac:dyDescent="0.3">
      <c r="B696" s="187"/>
      <c r="C696" s="186"/>
    </row>
    <row r="697" spans="2:3" x14ac:dyDescent="0.3">
      <c r="B697" s="187"/>
      <c r="C697" s="186"/>
    </row>
    <row r="698" spans="2:3" x14ac:dyDescent="0.3">
      <c r="B698" s="187"/>
      <c r="C698" s="186"/>
    </row>
    <row r="699" spans="2:3" x14ac:dyDescent="0.3">
      <c r="B699" s="187"/>
      <c r="C699" s="186"/>
    </row>
    <row r="700" spans="2:3" x14ac:dyDescent="0.3">
      <c r="B700" s="187"/>
      <c r="C700" s="186"/>
    </row>
    <row r="701" spans="2:3" x14ac:dyDescent="0.3">
      <c r="B701" s="187"/>
      <c r="C701" s="186"/>
    </row>
    <row r="702" spans="2:3" x14ac:dyDescent="0.3">
      <c r="B702" s="187"/>
      <c r="C702" s="186"/>
    </row>
    <row r="703" spans="2:3" x14ac:dyDescent="0.3">
      <c r="B703" s="187"/>
      <c r="C703" s="186"/>
    </row>
    <row r="704" spans="2:3" x14ac:dyDescent="0.3">
      <c r="B704" s="187"/>
      <c r="C704" s="186"/>
    </row>
    <row r="705" spans="2:3" x14ac:dyDescent="0.3">
      <c r="B705" s="187"/>
      <c r="C705" s="186"/>
    </row>
    <row r="706" spans="2:3" x14ac:dyDescent="0.3">
      <c r="B706" s="187"/>
      <c r="C706" s="186"/>
    </row>
    <row r="707" spans="2:3" x14ac:dyDescent="0.3">
      <c r="B707" s="187"/>
      <c r="C707" s="186"/>
    </row>
    <row r="708" spans="2:3" x14ac:dyDescent="0.3">
      <c r="B708" s="187"/>
      <c r="C708" s="186"/>
    </row>
    <row r="709" spans="2:3" x14ac:dyDescent="0.3">
      <c r="B709" s="187"/>
      <c r="C709" s="186"/>
    </row>
    <row r="710" spans="2:3" x14ac:dyDescent="0.3">
      <c r="B710" s="187"/>
      <c r="C710" s="186"/>
    </row>
    <row r="711" spans="2:3" x14ac:dyDescent="0.3">
      <c r="B711" s="187"/>
      <c r="C711" s="186"/>
    </row>
    <row r="712" spans="2:3" x14ac:dyDescent="0.3">
      <c r="B712" s="187"/>
      <c r="C712" s="186"/>
    </row>
    <row r="713" spans="2:3" x14ac:dyDescent="0.3">
      <c r="B713" s="187"/>
      <c r="C713" s="186"/>
    </row>
    <row r="714" spans="2:3" x14ac:dyDescent="0.3">
      <c r="B714" s="187"/>
      <c r="C714" s="186"/>
    </row>
    <row r="715" spans="2:3" x14ac:dyDescent="0.3">
      <c r="B715" s="187"/>
      <c r="C715" s="186"/>
    </row>
    <row r="716" spans="2:3" x14ac:dyDescent="0.3">
      <c r="B716" s="187"/>
      <c r="C716" s="186"/>
    </row>
    <row r="717" spans="2:3" x14ac:dyDescent="0.3">
      <c r="B717" s="187"/>
      <c r="C717" s="186"/>
    </row>
    <row r="718" spans="2:3" x14ac:dyDescent="0.3">
      <c r="B718" s="187"/>
      <c r="C718" s="186"/>
    </row>
    <row r="719" spans="2:3" x14ac:dyDescent="0.3">
      <c r="B719" s="187"/>
      <c r="C719" s="186"/>
    </row>
    <row r="720" spans="2:3" x14ac:dyDescent="0.3">
      <c r="B720" s="187"/>
      <c r="C720" s="186"/>
    </row>
    <row r="721" spans="2:3" x14ac:dyDescent="0.3">
      <c r="B721" s="187"/>
      <c r="C721" s="186"/>
    </row>
    <row r="722" spans="2:3" x14ac:dyDescent="0.3">
      <c r="B722" s="187"/>
      <c r="C722" s="186"/>
    </row>
    <row r="723" spans="2:3" x14ac:dyDescent="0.3">
      <c r="B723" s="187"/>
      <c r="C723" s="186"/>
    </row>
    <row r="724" spans="2:3" x14ac:dyDescent="0.3">
      <c r="B724" s="187"/>
      <c r="C724" s="186"/>
    </row>
    <row r="725" spans="2:3" x14ac:dyDescent="0.3">
      <c r="B725" s="187"/>
      <c r="C725" s="186"/>
    </row>
    <row r="726" spans="2:3" x14ac:dyDescent="0.3">
      <c r="B726" s="187"/>
      <c r="C726" s="186"/>
    </row>
    <row r="727" spans="2:3" x14ac:dyDescent="0.3">
      <c r="B727" s="187"/>
      <c r="C727" s="186"/>
    </row>
    <row r="728" spans="2:3" x14ac:dyDescent="0.3">
      <c r="B728" s="187"/>
      <c r="C728" s="186"/>
    </row>
    <row r="729" spans="2:3" x14ac:dyDescent="0.3">
      <c r="B729" s="187"/>
      <c r="C729" s="186"/>
    </row>
    <row r="730" spans="2:3" x14ac:dyDescent="0.3">
      <c r="B730" s="187"/>
      <c r="C730" s="186"/>
    </row>
    <row r="731" spans="2:3" x14ac:dyDescent="0.3">
      <c r="B731" s="187"/>
      <c r="C731" s="186"/>
    </row>
    <row r="732" spans="2:3" x14ac:dyDescent="0.3">
      <c r="B732" s="187"/>
      <c r="C732" s="186"/>
    </row>
    <row r="733" spans="2:3" x14ac:dyDescent="0.3">
      <c r="B733" s="187"/>
      <c r="C733" s="186"/>
    </row>
    <row r="734" spans="2:3" x14ac:dyDescent="0.3">
      <c r="B734" s="187"/>
      <c r="C734" s="186"/>
    </row>
    <row r="735" spans="2:3" x14ac:dyDescent="0.3">
      <c r="B735" s="187"/>
      <c r="C735" s="186"/>
    </row>
    <row r="736" spans="2:3" x14ac:dyDescent="0.3">
      <c r="B736" s="187"/>
      <c r="C736" s="186"/>
    </row>
    <row r="737" spans="2:3" x14ac:dyDescent="0.3">
      <c r="B737" s="187"/>
      <c r="C737" s="186"/>
    </row>
    <row r="738" spans="2:3" x14ac:dyDescent="0.3">
      <c r="B738" s="187"/>
      <c r="C738" s="186"/>
    </row>
    <row r="739" spans="2:3" x14ac:dyDescent="0.3">
      <c r="B739" s="187"/>
      <c r="C739" s="186"/>
    </row>
    <row r="740" spans="2:3" x14ac:dyDescent="0.3">
      <c r="B740" s="187"/>
      <c r="C740" s="186"/>
    </row>
    <row r="741" spans="2:3" x14ac:dyDescent="0.3">
      <c r="B741" s="187"/>
      <c r="C741" s="186"/>
    </row>
    <row r="742" spans="2:3" x14ac:dyDescent="0.3">
      <c r="B742" s="187"/>
      <c r="C742" s="186"/>
    </row>
    <row r="743" spans="2:3" x14ac:dyDescent="0.3">
      <c r="B743" s="187"/>
      <c r="C743" s="186"/>
    </row>
    <row r="744" spans="2:3" x14ac:dyDescent="0.3">
      <c r="B744" s="187"/>
      <c r="C744" s="186"/>
    </row>
    <row r="745" spans="2:3" x14ac:dyDescent="0.3">
      <c r="B745" s="187"/>
      <c r="C745" s="186"/>
    </row>
    <row r="746" spans="2:3" x14ac:dyDescent="0.3">
      <c r="B746" s="187"/>
      <c r="C746" s="186"/>
    </row>
    <row r="747" spans="2:3" x14ac:dyDescent="0.3">
      <c r="B747" s="187"/>
      <c r="C747" s="186"/>
    </row>
    <row r="748" spans="2:3" x14ac:dyDescent="0.3">
      <c r="B748" s="187"/>
      <c r="C748" s="186"/>
    </row>
    <row r="749" spans="2:3" x14ac:dyDescent="0.3">
      <c r="B749" s="187"/>
      <c r="C749" s="186"/>
    </row>
    <row r="750" spans="2:3" x14ac:dyDescent="0.3">
      <c r="B750" s="187"/>
      <c r="C750" s="186"/>
    </row>
    <row r="751" spans="2:3" x14ac:dyDescent="0.3">
      <c r="B751" s="187"/>
      <c r="C751" s="186"/>
    </row>
    <row r="752" spans="2:3" x14ac:dyDescent="0.3">
      <c r="B752" s="187"/>
      <c r="C752" s="186"/>
    </row>
    <row r="753" spans="2:3" x14ac:dyDescent="0.3">
      <c r="B753" s="187"/>
      <c r="C753" s="186"/>
    </row>
    <row r="754" spans="2:3" x14ac:dyDescent="0.3">
      <c r="B754" s="187"/>
      <c r="C754" s="186"/>
    </row>
    <row r="755" spans="2:3" x14ac:dyDescent="0.3">
      <c r="B755" s="187"/>
      <c r="C755" s="186"/>
    </row>
    <row r="756" spans="2:3" x14ac:dyDescent="0.3">
      <c r="B756" s="187"/>
      <c r="C756" s="186"/>
    </row>
    <row r="757" spans="2:3" x14ac:dyDescent="0.3">
      <c r="B757" s="187"/>
      <c r="C757" s="186"/>
    </row>
    <row r="758" spans="2:3" x14ac:dyDescent="0.3">
      <c r="B758" s="187"/>
      <c r="C758" s="186"/>
    </row>
    <row r="759" spans="2:3" x14ac:dyDescent="0.3">
      <c r="B759" s="187"/>
      <c r="C759" s="186"/>
    </row>
    <row r="760" spans="2:3" x14ac:dyDescent="0.3">
      <c r="B760" s="187"/>
      <c r="C760" s="186"/>
    </row>
    <row r="761" spans="2:3" x14ac:dyDescent="0.3">
      <c r="B761" s="187"/>
      <c r="C761" s="186"/>
    </row>
    <row r="762" spans="2:3" x14ac:dyDescent="0.3">
      <c r="B762" s="187"/>
      <c r="C762" s="186"/>
    </row>
    <row r="763" spans="2:3" x14ac:dyDescent="0.3">
      <c r="B763" s="187"/>
      <c r="C763" s="186"/>
    </row>
    <row r="764" spans="2:3" x14ac:dyDescent="0.3">
      <c r="B764" s="187"/>
      <c r="C764" s="186"/>
    </row>
    <row r="765" spans="2:3" x14ac:dyDescent="0.3">
      <c r="B765" s="187"/>
      <c r="C765" s="186"/>
    </row>
    <row r="766" spans="2:3" x14ac:dyDescent="0.3">
      <c r="B766" s="187"/>
      <c r="C766" s="186"/>
    </row>
    <row r="767" spans="2:3" x14ac:dyDescent="0.3">
      <c r="B767" s="187"/>
      <c r="C767" s="186"/>
    </row>
    <row r="768" spans="2:3" x14ac:dyDescent="0.3">
      <c r="B768" s="187"/>
      <c r="C768" s="186"/>
    </row>
    <row r="769" spans="2:3" x14ac:dyDescent="0.3">
      <c r="B769" s="187"/>
      <c r="C769" s="186"/>
    </row>
    <row r="770" spans="2:3" x14ac:dyDescent="0.3">
      <c r="B770" s="187"/>
      <c r="C770" s="186"/>
    </row>
    <row r="771" spans="2:3" x14ac:dyDescent="0.3">
      <c r="B771" s="187"/>
      <c r="C771" s="186"/>
    </row>
    <row r="772" spans="2:3" x14ac:dyDescent="0.3">
      <c r="B772" s="187"/>
      <c r="C772" s="186"/>
    </row>
    <row r="773" spans="2:3" x14ac:dyDescent="0.3">
      <c r="B773" s="187"/>
      <c r="C773" s="186"/>
    </row>
    <row r="774" spans="2:3" x14ac:dyDescent="0.3">
      <c r="B774" s="187"/>
      <c r="C774" s="186"/>
    </row>
    <row r="775" spans="2:3" x14ac:dyDescent="0.3">
      <c r="B775" s="187"/>
      <c r="C775" s="186"/>
    </row>
    <row r="776" spans="2:3" x14ac:dyDescent="0.3">
      <c r="B776" s="187"/>
      <c r="C776" s="186"/>
    </row>
    <row r="777" spans="2:3" x14ac:dyDescent="0.3">
      <c r="B777" s="187"/>
      <c r="C777" s="186"/>
    </row>
    <row r="778" spans="2:3" x14ac:dyDescent="0.3">
      <c r="B778" s="187"/>
      <c r="C778" s="186"/>
    </row>
    <row r="779" spans="2:3" x14ac:dyDescent="0.3">
      <c r="B779" s="187"/>
      <c r="C779" s="186"/>
    </row>
    <row r="780" spans="2:3" x14ac:dyDescent="0.3">
      <c r="B780" s="187"/>
      <c r="C780" s="186"/>
    </row>
    <row r="781" spans="2:3" x14ac:dyDescent="0.3">
      <c r="B781" s="187"/>
      <c r="C781" s="186"/>
    </row>
    <row r="782" spans="2:3" x14ac:dyDescent="0.3">
      <c r="B782" s="187"/>
      <c r="C782" s="186"/>
    </row>
    <row r="783" spans="2:3" x14ac:dyDescent="0.3">
      <c r="B783" s="187"/>
      <c r="C783" s="186"/>
    </row>
    <row r="784" spans="2:3" x14ac:dyDescent="0.3">
      <c r="B784" s="187"/>
      <c r="C784" s="186"/>
    </row>
    <row r="785" spans="2:3" x14ac:dyDescent="0.3">
      <c r="B785" s="187"/>
      <c r="C785" s="186"/>
    </row>
    <row r="786" spans="2:3" x14ac:dyDescent="0.3">
      <c r="B786" s="187"/>
      <c r="C786" s="186"/>
    </row>
    <row r="787" spans="2:3" x14ac:dyDescent="0.3">
      <c r="B787" s="187"/>
      <c r="C787" s="186"/>
    </row>
    <row r="788" spans="2:3" x14ac:dyDescent="0.3">
      <c r="B788" s="187"/>
      <c r="C788" s="186"/>
    </row>
    <row r="789" spans="2:3" x14ac:dyDescent="0.3">
      <c r="B789" s="187"/>
      <c r="C789" s="186"/>
    </row>
    <row r="790" spans="2:3" x14ac:dyDescent="0.3">
      <c r="B790" s="187"/>
      <c r="C790" s="186"/>
    </row>
    <row r="791" spans="2:3" x14ac:dyDescent="0.3">
      <c r="B791" s="187"/>
      <c r="C791" s="186"/>
    </row>
    <row r="792" spans="2:3" x14ac:dyDescent="0.3">
      <c r="B792" s="187"/>
      <c r="C792" s="186"/>
    </row>
    <row r="793" spans="2:3" x14ac:dyDescent="0.3">
      <c r="B793" s="187"/>
      <c r="C793" s="186"/>
    </row>
    <row r="794" spans="2:3" x14ac:dyDescent="0.3">
      <c r="B794" s="187"/>
      <c r="C794" s="186"/>
    </row>
    <row r="795" spans="2:3" x14ac:dyDescent="0.3">
      <c r="B795" s="187"/>
      <c r="C795" s="186"/>
    </row>
    <row r="796" spans="2:3" x14ac:dyDescent="0.3">
      <c r="B796" s="187"/>
      <c r="C796" s="186"/>
    </row>
    <row r="797" spans="2:3" x14ac:dyDescent="0.3">
      <c r="B797" s="187"/>
      <c r="C797" s="186"/>
    </row>
    <row r="798" spans="2:3" x14ac:dyDescent="0.3">
      <c r="B798" s="187"/>
      <c r="C798" s="186"/>
    </row>
    <row r="799" spans="2:3" x14ac:dyDescent="0.3">
      <c r="B799" s="187"/>
      <c r="C799" s="186"/>
    </row>
    <row r="800" spans="2:3" x14ac:dyDescent="0.3">
      <c r="B800" s="187"/>
      <c r="C800" s="186"/>
    </row>
    <row r="801" spans="2:3" x14ac:dyDescent="0.3">
      <c r="B801" s="187"/>
      <c r="C801" s="186"/>
    </row>
    <row r="802" spans="2:3" x14ac:dyDescent="0.3">
      <c r="B802" s="187"/>
      <c r="C802" s="186"/>
    </row>
    <row r="803" spans="2:3" x14ac:dyDescent="0.3">
      <c r="B803" s="187"/>
      <c r="C803" s="186"/>
    </row>
    <row r="804" spans="2:3" x14ac:dyDescent="0.3">
      <c r="B804" s="187"/>
      <c r="C804" s="186"/>
    </row>
    <row r="805" spans="2:3" x14ac:dyDescent="0.3">
      <c r="B805" s="187"/>
      <c r="C805" s="186"/>
    </row>
    <row r="806" spans="2:3" x14ac:dyDescent="0.3">
      <c r="B806" s="187"/>
      <c r="C806" s="186"/>
    </row>
    <row r="807" spans="2:3" x14ac:dyDescent="0.3">
      <c r="B807" s="187"/>
      <c r="C807" s="186"/>
    </row>
    <row r="808" spans="2:3" x14ac:dyDescent="0.3">
      <c r="B808" s="187"/>
      <c r="C808" s="186"/>
    </row>
    <row r="809" spans="2:3" x14ac:dyDescent="0.3">
      <c r="B809" s="187"/>
      <c r="C809" s="186"/>
    </row>
    <row r="810" spans="2:3" x14ac:dyDescent="0.3">
      <c r="B810" s="187"/>
      <c r="C810" s="186"/>
    </row>
    <row r="811" spans="2:3" x14ac:dyDescent="0.3">
      <c r="B811" s="187"/>
      <c r="C811" s="186"/>
    </row>
    <row r="812" spans="2:3" x14ac:dyDescent="0.3">
      <c r="B812" s="187"/>
      <c r="C812" s="186"/>
    </row>
    <row r="813" spans="2:3" x14ac:dyDescent="0.3">
      <c r="B813" s="187"/>
      <c r="C813" s="186"/>
    </row>
    <row r="814" spans="2:3" x14ac:dyDescent="0.3">
      <c r="B814" s="187"/>
      <c r="C814" s="186"/>
    </row>
    <row r="815" spans="2:3" x14ac:dyDescent="0.3">
      <c r="B815" s="187"/>
      <c r="C815" s="186"/>
    </row>
    <row r="816" spans="2:3" x14ac:dyDescent="0.3">
      <c r="B816" s="187"/>
      <c r="C816" s="186"/>
    </row>
    <row r="817" spans="2:3" x14ac:dyDescent="0.3">
      <c r="B817" s="187"/>
      <c r="C817" s="186"/>
    </row>
    <row r="818" spans="2:3" x14ac:dyDescent="0.3">
      <c r="B818" s="187"/>
      <c r="C818" s="186"/>
    </row>
    <row r="819" spans="2:3" x14ac:dyDescent="0.3">
      <c r="B819" s="187"/>
      <c r="C819" s="186"/>
    </row>
    <row r="820" spans="2:3" x14ac:dyDescent="0.3">
      <c r="B820" s="187"/>
      <c r="C820" s="186"/>
    </row>
    <row r="821" spans="2:3" x14ac:dyDescent="0.3">
      <c r="B821" s="187"/>
      <c r="C821" s="186"/>
    </row>
    <row r="822" spans="2:3" x14ac:dyDescent="0.3">
      <c r="B822" s="187"/>
      <c r="C822" s="186"/>
    </row>
    <row r="823" spans="2:3" x14ac:dyDescent="0.3">
      <c r="B823" s="187"/>
      <c r="C823" s="186"/>
    </row>
    <row r="824" spans="2:3" x14ac:dyDescent="0.3">
      <c r="B824" s="187"/>
      <c r="C824" s="186"/>
    </row>
    <row r="825" spans="2:3" x14ac:dyDescent="0.3">
      <c r="B825" s="187"/>
      <c r="C825" s="186"/>
    </row>
    <row r="826" spans="2:3" x14ac:dyDescent="0.3">
      <c r="B826" s="187"/>
      <c r="C826" s="186"/>
    </row>
    <row r="827" spans="2:3" x14ac:dyDescent="0.3">
      <c r="B827" s="187"/>
      <c r="C827" s="186"/>
    </row>
    <row r="828" spans="2:3" x14ac:dyDescent="0.3">
      <c r="B828" s="187"/>
      <c r="C828" s="186"/>
    </row>
    <row r="829" spans="2:3" x14ac:dyDescent="0.3">
      <c r="B829" s="187"/>
      <c r="C829" s="186"/>
    </row>
    <row r="830" spans="2:3" x14ac:dyDescent="0.3">
      <c r="B830" s="187"/>
      <c r="C830" s="186"/>
    </row>
    <row r="831" spans="2:3" x14ac:dyDescent="0.3">
      <c r="B831" s="187"/>
      <c r="C831" s="186"/>
    </row>
    <row r="832" spans="2:3" x14ac:dyDescent="0.3">
      <c r="B832" s="187"/>
      <c r="C832" s="186"/>
    </row>
    <row r="833" spans="2:3" x14ac:dyDescent="0.3">
      <c r="B833" s="187"/>
      <c r="C833" s="186"/>
    </row>
    <row r="834" spans="2:3" x14ac:dyDescent="0.3">
      <c r="B834" s="187"/>
      <c r="C834" s="186"/>
    </row>
    <row r="835" spans="2:3" x14ac:dyDescent="0.3">
      <c r="B835" s="187"/>
      <c r="C835" s="186"/>
    </row>
    <row r="836" spans="2:3" x14ac:dyDescent="0.3">
      <c r="B836" s="187"/>
      <c r="C836" s="186"/>
    </row>
    <row r="837" spans="2:3" x14ac:dyDescent="0.3">
      <c r="B837" s="187"/>
      <c r="C837" s="186"/>
    </row>
    <row r="838" spans="2:3" x14ac:dyDescent="0.3">
      <c r="B838" s="187"/>
      <c r="C838" s="186"/>
    </row>
    <row r="839" spans="2:3" x14ac:dyDescent="0.3">
      <c r="B839" s="187"/>
      <c r="C839" s="186"/>
    </row>
    <row r="840" spans="2:3" x14ac:dyDescent="0.3">
      <c r="B840" s="187"/>
      <c r="C840" s="186"/>
    </row>
    <row r="841" spans="2:3" x14ac:dyDescent="0.3">
      <c r="B841" s="187"/>
      <c r="C841" s="186"/>
    </row>
    <row r="842" spans="2:3" x14ac:dyDescent="0.3">
      <c r="B842" s="187"/>
      <c r="C842" s="186"/>
    </row>
    <row r="843" spans="2:3" x14ac:dyDescent="0.3">
      <c r="B843" s="187"/>
      <c r="C843" s="186"/>
    </row>
    <row r="844" spans="2:3" x14ac:dyDescent="0.3">
      <c r="B844" s="187"/>
      <c r="C844" s="186"/>
    </row>
    <row r="845" spans="2:3" x14ac:dyDescent="0.3">
      <c r="B845" s="187"/>
      <c r="C845" s="186"/>
    </row>
    <row r="846" spans="2:3" x14ac:dyDescent="0.3">
      <c r="B846" s="187"/>
      <c r="C846" s="186"/>
    </row>
    <row r="847" spans="2:3" x14ac:dyDescent="0.3">
      <c r="B847" s="187"/>
      <c r="C847" s="186"/>
    </row>
    <row r="848" spans="2:3" x14ac:dyDescent="0.3">
      <c r="B848" s="187"/>
      <c r="C848" s="186"/>
    </row>
    <row r="849" spans="2:3" x14ac:dyDescent="0.3">
      <c r="B849" s="187"/>
      <c r="C849" s="186"/>
    </row>
    <row r="850" spans="2:3" x14ac:dyDescent="0.3">
      <c r="B850" s="187"/>
      <c r="C850" s="186"/>
    </row>
    <row r="851" spans="2:3" x14ac:dyDescent="0.3">
      <c r="B851" s="187"/>
      <c r="C851" s="186"/>
    </row>
    <row r="852" spans="2:3" x14ac:dyDescent="0.3">
      <c r="B852" s="187"/>
      <c r="C852" s="186"/>
    </row>
    <row r="853" spans="2:3" x14ac:dyDescent="0.3">
      <c r="B853" s="187"/>
      <c r="C853" s="186"/>
    </row>
    <row r="854" spans="2:3" x14ac:dyDescent="0.3">
      <c r="B854" s="187"/>
      <c r="C854" s="186"/>
    </row>
    <row r="855" spans="2:3" x14ac:dyDescent="0.3">
      <c r="B855" s="187"/>
      <c r="C855" s="186"/>
    </row>
    <row r="856" spans="2:3" x14ac:dyDescent="0.3">
      <c r="B856" s="187"/>
      <c r="C856" s="186"/>
    </row>
    <row r="857" spans="2:3" x14ac:dyDescent="0.3">
      <c r="B857" s="187"/>
      <c r="C857" s="186"/>
    </row>
    <row r="858" spans="2:3" x14ac:dyDescent="0.3">
      <c r="B858" s="187"/>
      <c r="C858" s="186"/>
    </row>
    <row r="859" spans="2:3" x14ac:dyDescent="0.3">
      <c r="B859" s="187"/>
      <c r="C859" s="186"/>
    </row>
    <row r="860" spans="2:3" x14ac:dyDescent="0.3">
      <c r="B860" s="187"/>
      <c r="C860" s="186"/>
    </row>
    <row r="861" spans="2:3" x14ac:dyDescent="0.3">
      <c r="B861" s="187"/>
      <c r="C861" s="186"/>
    </row>
    <row r="862" spans="2:3" x14ac:dyDescent="0.3">
      <c r="B862" s="187"/>
      <c r="C862" s="186"/>
    </row>
    <row r="863" spans="2:3" x14ac:dyDescent="0.3">
      <c r="B863" s="187"/>
      <c r="C863" s="186"/>
    </row>
    <row r="864" spans="2:3" x14ac:dyDescent="0.3">
      <c r="B864" s="187"/>
      <c r="C864" s="186"/>
    </row>
    <row r="865" spans="2:3" x14ac:dyDescent="0.3">
      <c r="B865" s="187"/>
      <c r="C865" s="186"/>
    </row>
    <row r="866" spans="2:3" x14ac:dyDescent="0.3">
      <c r="B866" s="187"/>
      <c r="C866" s="186"/>
    </row>
    <row r="867" spans="2:3" x14ac:dyDescent="0.3">
      <c r="B867" s="187"/>
      <c r="C867" s="186"/>
    </row>
    <row r="868" spans="2:3" x14ac:dyDescent="0.3">
      <c r="B868" s="187"/>
      <c r="C868" s="186"/>
    </row>
    <row r="869" spans="2:3" x14ac:dyDescent="0.3">
      <c r="B869" s="187"/>
      <c r="C869" s="186"/>
    </row>
    <row r="870" spans="2:3" x14ac:dyDescent="0.3">
      <c r="B870" s="187"/>
      <c r="C870" s="186"/>
    </row>
    <row r="871" spans="2:3" x14ac:dyDescent="0.3">
      <c r="B871" s="187"/>
      <c r="C871" s="186"/>
    </row>
    <row r="872" spans="2:3" x14ac:dyDescent="0.3">
      <c r="B872" s="187"/>
      <c r="C872" s="186"/>
    </row>
    <row r="873" spans="2:3" x14ac:dyDescent="0.3">
      <c r="B873" s="187"/>
      <c r="C873" s="186"/>
    </row>
    <row r="874" spans="2:3" x14ac:dyDescent="0.3">
      <c r="B874" s="187"/>
      <c r="C874" s="186"/>
    </row>
    <row r="875" spans="2:3" x14ac:dyDescent="0.3">
      <c r="B875" s="187"/>
      <c r="C875" s="186"/>
    </row>
    <row r="876" spans="2:3" x14ac:dyDescent="0.3">
      <c r="B876" s="187"/>
      <c r="C876" s="186"/>
    </row>
    <row r="877" spans="2:3" x14ac:dyDescent="0.3">
      <c r="B877" s="187"/>
      <c r="C877" s="186"/>
    </row>
    <row r="878" spans="2:3" x14ac:dyDescent="0.3">
      <c r="B878" s="187"/>
      <c r="C878" s="186"/>
    </row>
    <row r="879" spans="2:3" x14ac:dyDescent="0.3">
      <c r="B879" s="187"/>
      <c r="C879" s="186"/>
    </row>
    <row r="880" spans="2:3" x14ac:dyDescent="0.3">
      <c r="B880" s="187"/>
      <c r="C880" s="186"/>
    </row>
    <row r="881" spans="2:3" x14ac:dyDescent="0.3">
      <c r="B881" s="187"/>
      <c r="C881" s="186"/>
    </row>
    <row r="882" spans="2:3" x14ac:dyDescent="0.3">
      <c r="B882" s="187"/>
      <c r="C882" s="186"/>
    </row>
    <row r="883" spans="2:3" x14ac:dyDescent="0.3">
      <c r="B883" s="187"/>
      <c r="C883" s="186"/>
    </row>
    <row r="884" spans="2:3" x14ac:dyDescent="0.3">
      <c r="B884" s="187"/>
      <c r="C884" s="186"/>
    </row>
    <row r="885" spans="2:3" x14ac:dyDescent="0.3">
      <c r="B885" s="187"/>
      <c r="C885" s="186"/>
    </row>
    <row r="886" spans="2:3" x14ac:dyDescent="0.3">
      <c r="B886" s="187"/>
      <c r="C886" s="186"/>
    </row>
    <row r="887" spans="2:3" x14ac:dyDescent="0.3">
      <c r="B887" s="187"/>
      <c r="C887" s="186"/>
    </row>
    <row r="888" spans="2:3" x14ac:dyDescent="0.3">
      <c r="B888" s="187"/>
      <c r="C888" s="186"/>
    </row>
    <row r="889" spans="2:3" x14ac:dyDescent="0.3">
      <c r="B889" s="187"/>
      <c r="C889" s="186"/>
    </row>
    <row r="890" spans="2:3" x14ac:dyDescent="0.3">
      <c r="B890" s="187"/>
      <c r="C890" s="186"/>
    </row>
    <row r="891" spans="2:3" x14ac:dyDescent="0.3">
      <c r="B891" s="187"/>
      <c r="C891" s="186"/>
    </row>
    <row r="892" spans="2:3" x14ac:dyDescent="0.3">
      <c r="B892" s="187"/>
      <c r="C892" s="186"/>
    </row>
    <row r="893" spans="2:3" x14ac:dyDescent="0.3">
      <c r="B893" s="187"/>
      <c r="C893" s="186"/>
    </row>
    <row r="894" spans="2:3" x14ac:dyDescent="0.3">
      <c r="B894" s="187"/>
      <c r="C894" s="186"/>
    </row>
    <row r="895" spans="2:3" x14ac:dyDescent="0.3">
      <c r="B895" s="187"/>
      <c r="C895" s="186"/>
    </row>
    <row r="896" spans="2:3" x14ac:dyDescent="0.3">
      <c r="B896" s="187"/>
      <c r="C896" s="186"/>
    </row>
    <row r="897" spans="2:3" x14ac:dyDescent="0.3">
      <c r="B897" s="187"/>
      <c r="C897" s="186"/>
    </row>
    <row r="898" spans="2:3" x14ac:dyDescent="0.3">
      <c r="B898" s="187"/>
      <c r="C898" s="186"/>
    </row>
    <row r="899" spans="2:3" x14ac:dyDescent="0.3">
      <c r="B899" s="187"/>
      <c r="C899" s="186"/>
    </row>
    <row r="900" spans="2:3" x14ac:dyDescent="0.3">
      <c r="B900" s="187"/>
      <c r="C900" s="186"/>
    </row>
    <row r="901" spans="2:3" x14ac:dyDescent="0.3">
      <c r="B901" s="187"/>
      <c r="C901" s="186"/>
    </row>
    <row r="902" spans="2:3" x14ac:dyDescent="0.3">
      <c r="B902" s="187"/>
      <c r="C902" s="186"/>
    </row>
    <row r="903" spans="2:3" x14ac:dyDescent="0.3">
      <c r="B903" s="187"/>
      <c r="C903" s="186"/>
    </row>
    <row r="904" spans="2:3" x14ac:dyDescent="0.3">
      <c r="B904" s="187"/>
      <c r="C904" s="186"/>
    </row>
    <row r="905" spans="2:3" x14ac:dyDescent="0.3">
      <c r="B905" s="187"/>
      <c r="C905" s="186"/>
    </row>
    <row r="906" spans="2:3" x14ac:dyDescent="0.3">
      <c r="B906" s="187"/>
      <c r="C906" s="186"/>
    </row>
    <row r="907" spans="2:3" x14ac:dyDescent="0.3">
      <c r="B907" s="187"/>
      <c r="C907" s="186"/>
    </row>
    <row r="908" spans="2:3" x14ac:dyDescent="0.3">
      <c r="B908" s="187"/>
      <c r="C908" s="186"/>
    </row>
    <row r="909" spans="2:3" x14ac:dyDescent="0.3">
      <c r="B909" s="187"/>
      <c r="C909" s="186"/>
    </row>
    <row r="910" spans="2:3" x14ac:dyDescent="0.3">
      <c r="B910" s="187"/>
      <c r="C910" s="186"/>
    </row>
    <row r="911" spans="2:3" x14ac:dyDescent="0.3">
      <c r="B911" s="187"/>
      <c r="C911" s="186"/>
    </row>
    <row r="912" spans="2:3" x14ac:dyDescent="0.3">
      <c r="B912" s="187"/>
      <c r="C912" s="186"/>
    </row>
    <row r="913" spans="2:3" x14ac:dyDescent="0.3">
      <c r="B913" s="187"/>
      <c r="C913" s="186"/>
    </row>
    <row r="914" spans="2:3" x14ac:dyDescent="0.3">
      <c r="B914" s="187"/>
      <c r="C914" s="186"/>
    </row>
    <row r="915" spans="2:3" x14ac:dyDescent="0.3">
      <c r="B915" s="187"/>
      <c r="C915" s="186"/>
    </row>
    <row r="916" spans="2:3" x14ac:dyDescent="0.3">
      <c r="B916" s="187"/>
      <c r="C916" s="186"/>
    </row>
    <row r="917" spans="2:3" x14ac:dyDescent="0.3">
      <c r="B917" s="187"/>
      <c r="C917" s="186"/>
    </row>
    <row r="918" spans="2:3" x14ac:dyDescent="0.3">
      <c r="B918" s="187"/>
      <c r="C918" s="186"/>
    </row>
    <row r="919" spans="2:3" x14ac:dyDescent="0.3">
      <c r="B919" s="187"/>
      <c r="C919" s="186"/>
    </row>
    <row r="920" spans="2:3" x14ac:dyDescent="0.3">
      <c r="B920" s="187"/>
      <c r="C920" s="186"/>
    </row>
    <row r="921" spans="2:3" x14ac:dyDescent="0.3">
      <c r="B921" s="187"/>
      <c r="C921" s="186"/>
    </row>
    <row r="922" spans="2:3" x14ac:dyDescent="0.3">
      <c r="B922" s="187"/>
      <c r="C922" s="186"/>
    </row>
    <row r="923" spans="2:3" x14ac:dyDescent="0.3">
      <c r="B923" s="187"/>
      <c r="C923" s="186"/>
    </row>
    <row r="924" spans="2:3" x14ac:dyDescent="0.3">
      <c r="B924" s="187"/>
      <c r="C924" s="186"/>
    </row>
    <row r="925" spans="2:3" x14ac:dyDescent="0.3">
      <c r="B925" s="187"/>
      <c r="C925" s="186"/>
    </row>
    <row r="926" spans="2:3" x14ac:dyDescent="0.3">
      <c r="B926" s="187"/>
      <c r="C926" s="186"/>
    </row>
    <row r="927" spans="2:3" x14ac:dyDescent="0.3">
      <c r="B927" s="187"/>
      <c r="C927" s="186"/>
    </row>
    <row r="928" spans="2:3" x14ac:dyDescent="0.3">
      <c r="B928" s="187"/>
      <c r="C928" s="186"/>
    </row>
    <row r="929" spans="2:3" x14ac:dyDescent="0.3">
      <c r="B929" s="187"/>
      <c r="C929" s="186"/>
    </row>
    <row r="930" spans="2:3" x14ac:dyDescent="0.3">
      <c r="B930" s="187"/>
      <c r="C930" s="186"/>
    </row>
    <row r="931" spans="2:3" x14ac:dyDescent="0.3">
      <c r="B931" s="187"/>
      <c r="C931" s="186"/>
    </row>
    <row r="932" spans="2:3" x14ac:dyDescent="0.3">
      <c r="B932" s="187"/>
      <c r="C932" s="186"/>
    </row>
    <row r="933" spans="2:3" x14ac:dyDescent="0.3">
      <c r="B933" s="187"/>
      <c r="C933" s="186"/>
    </row>
    <row r="934" spans="2:3" x14ac:dyDescent="0.3">
      <c r="B934" s="187"/>
      <c r="C934" s="186"/>
    </row>
    <row r="935" spans="2:3" x14ac:dyDescent="0.3">
      <c r="B935" s="187"/>
      <c r="C935" s="186"/>
    </row>
    <row r="936" spans="2:3" x14ac:dyDescent="0.3">
      <c r="B936" s="187"/>
      <c r="C936" s="186"/>
    </row>
    <row r="937" spans="2:3" x14ac:dyDescent="0.3">
      <c r="B937" s="187"/>
      <c r="C937" s="186"/>
    </row>
    <row r="938" spans="2:3" x14ac:dyDescent="0.3">
      <c r="B938" s="187"/>
      <c r="C938" s="186"/>
    </row>
    <row r="939" spans="2:3" x14ac:dyDescent="0.3">
      <c r="B939" s="187"/>
      <c r="C939" s="186"/>
    </row>
    <row r="940" spans="2:3" x14ac:dyDescent="0.3">
      <c r="B940" s="187"/>
      <c r="C940" s="186"/>
    </row>
    <row r="941" spans="2:3" x14ac:dyDescent="0.3">
      <c r="B941" s="187"/>
      <c r="C941" s="186"/>
    </row>
    <row r="942" spans="2:3" x14ac:dyDescent="0.3">
      <c r="B942" s="187"/>
      <c r="C942" s="186"/>
    </row>
    <row r="943" spans="2:3" x14ac:dyDescent="0.3">
      <c r="B943" s="187"/>
      <c r="C943" s="186"/>
    </row>
    <row r="944" spans="2:3" x14ac:dyDescent="0.3">
      <c r="B944" s="187"/>
      <c r="C944" s="186"/>
    </row>
    <row r="945" spans="2:3" x14ac:dyDescent="0.3">
      <c r="B945" s="187"/>
      <c r="C945" s="186"/>
    </row>
    <row r="946" spans="2:3" x14ac:dyDescent="0.3">
      <c r="B946" s="187"/>
      <c r="C946" s="186"/>
    </row>
    <row r="947" spans="2:3" x14ac:dyDescent="0.3">
      <c r="B947" s="187"/>
      <c r="C947" s="186"/>
    </row>
    <row r="948" spans="2:3" x14ac:dyDescent="0.3">
      <c r="B948" s="187"/>
      <c r="C948" s="186"/>
    </row>
    <row r="949" spans="2:3" x14ac:dyDescent="0.3">
      <c r="B949" s="187"/>
      <c r="C949" s="186"/>
    </row>
    <row r="950" spans="2:3" x14ac:dyDescent="0.3">
      <c r="B950" s="187"/>
      <c r="C950" s="186"/>
    </row>
    <row r="951" spans="2:3" x14ac:dyDescent="0.3">
      <c r="B951" s="187"/>
      <c r="C951" s="186"/>
    </row>
    <row r="952" spans="2:3" x14ac:dyDescent="0.3">
      <c r="B952" s="187"/>
      <c r="C952" s="186"/>
    </row>
    <row r="953" spans="2:3" x14ac:dyDescent="0.3">
      <c r="B953" s="187"/>
      <c r="C953" s="186"/>
    </row>
    <row r="954" spans="2:3" x14ac:dyDescent="0.3">
      <c r="B954" s="187"/>
      <c r="C954" s="186"/>
    </row>
    <row r="955" spans="2:3" x14ac:dyDescent="0.3">
      <c r="B955" s="187"/>
      <c r="C955" s="186"/>
    </row>
    <row r="956" spans="2:3" x14ac:dyDescent="0.3">
      <c r="B956" s="187"/>
      <c r="C956" s="186"/>
    </row>
    <row r="957" spans="2:3" x14ac:dyDescent="0.3">
      <c r="B957" s="187"/>
      <c r="C957" s="186"/>
    </row>
    <row r="958" spans="2:3" x14ac:dyDescent="0.3">
      <c r="B958" s="187"/>
      <c r="C958" s="186"/>
    </row>
    <row r="959" spans="2:3" x14ac:dyDescent="0.3">
      <c r="B959" s="187"/>
      <c r="C959" s="186"/>
    </row>
    <row r="960" spans="2:3" x14ac:dyDescent="0.3">
      <c r="B960" s="187"/>
      <c r="C960" s="186"/>
    </row>
    <row r="961" spans="2:3" x14ac:dyDescent="0.3">
      <c r="B961" s="187"/>
      <c r="C961" s="186"/>
    </row>
    <row r="962" spans="2:3" x14ac:dyDescent="0.3">
      <c r="B962" s="187"/>
      <c r="C962" s="186"/>
    </row>
    <row r="963" spans="2:3" x14ac:dyDescent="0.3">
      <c r="B963" s="187"/>
      <c r="C963" s="186"/>
    </row>
    <row r="964" spans="2:3" x14ac:dyDescent="0.3">
      <c r="B964" s="187"/>
      <c r="C964" s="186"/>
    </row>
    <row r="965" spans="2:3" x14ac:dyDescent="0.3">
      <c r="B965" s="187"/>
      <c r="C965" s="186"/>
    </row>
    <row r="966" spans="2:3" x14ac:dyDescent="0.3">
      <c r="B966" s="187"/>
      <c r="C966" s="186"/>
    </row>
    <row r="967" spans="2:3" x14ac:dyDescent="0.3">
      <c r="B967" s="187"/>
      <c r="C967" s="186"/>
    </row>
    <row r="968" spans="2:3" x14ac:dyDescent="0.3">
      <c r="B968" s="187"/>
      <c r="C968" s="186"/>
    </row>
    <row r="969" spans="2:3" x14ac:dyDescent="0.3">
      <c r="B969" s="187"/>
      <c r="C969" s="186"/>
    </row>
    <row r="970" spans="2:3" x14ac:dyDescent="0.3">
      <c r="B970" s="187"/>
      <c r="C970" s="186"/>
    </row>
    <row r="971" spans="2:3" x14ac:dyDescent="0.3">
      <c r="B971" s="187"/>
      <c r="C971" s="186"/>
    </row>
    <row r="972" spans="2:3" x14ac:dyDescent="0.3">
      <c r="B972" s="187"/>
      <c r="C972" s="186"/>
    </row>
    <row r="973" spans="2:3" x14ac:dyDescent="0.3">
      <c r="B973" s="187"/>
      <c r="C973" s="186"/>
    </row>
    <row r="974" spans="2:3" x14ac:dyDescent="0.3">
      <c r="B974" s="187"/>
      <c r="C974" s="186"/>
    </row>
    <row r="975" spans="2:3" x14ac:dyDescent="0.3">
      <c r="B975" s="187"/>
      <c r="C975" s="186"/>
    </row>
    <row r="976" spans="2:3" x14ac:dyDescent="0.3">
      <c r="B976" s="187"/>
      <c r="C976" s="186"/>
    </row>
    <row r="977" spans="2:3" x14ac:dyDescent="0.3">
      <c r="B977" s="187"/>
      <c r="C977" s="186"/>
    </row>
    <row r="978" spans="2:3" x14ac:dyDescent="0.3">
      <c r="B978" s="187"/>
      <c r="C978" s="186"/>
    </row>
    <row r="979" spans="2:3" x14ac:dyDescent="0.3">
      <c r="B979" s="187"/>
      <c r="C979" s="186"/>
    </row>
    <row r="980" spans="2:3" x14ac:dyDescent="0.3">
      <c r="B980" s="187"/>
      <c r="C980" s="186"/>
    </row>
    <row r="981" spans="2:3" x14ac:dyDescent="0.3">
      <c r="B981" s="187"/>
      <c r="C981" s="186"/>
    </row>
    <row r="982" spans="2:3" x14ac:dyDescent="0.3">
      <c r="B982" s="187"/>
      <c r="C982" s="186"/>
    </row>
    <row r="983" spans="2:3" x14ac:dyDescent="0.3">
      <c r="B983" s="187"/>
      <c r="C983" s="186"/>
    </row>
    <row r="984" spans="2:3" x14ac:dyDescent="0.3">
      <c r="B984" s="187"/>
      <c r="C984" s="186"/>
    </row>
    <row r="985" spans="2:3" x14ac:dyDescent="0.3">
      <c r="B985" s="187"/>
      <c r="C985" s="186"/>
    </row>
    <row r="986" spans="2:3" x14ac:dyDescent="0.3">
      <c r="B986" s="187"/>
      <c r="C986" s="186"/>
    </row>
    <row r="987" spans="2:3" x14ac:dyDescent="0.3">
      <c r="B987" s="187"/>
      <c r="C987" s="186"/>
    </row>
    <row r="988" spans="2:3" x14ac:dyDescent="0.3">
      <c r="B988" s="187"/>
      <c r="C988" s="186"/>
    </row>
    <row r="989" spans="2:3" x14ac:dyDescent="0.3">
      <c r="B989" s="187"/>
      <c r="C989" s="186"/>
    </row>
    <row r="990" spans="2:3" x14ac:dyDescent="0.3">
      <c r="B990" s="187"/>
      <c r="C990" s="186"/>
    </row>
    <row r="991" spans="2:3" x14ac:dyDescent="0.3">
      <c r="B991" s="187"/>
      <c r="C991" s="186"/>
    </row>
    <row r="992" spans="2:3" x14ac:dyDescent="0.3">
      <c r="B992" s="187"/>
      <c r="C992" s="186"/>
    </row>
    <row r="993" spans="2:3" x14ac:dyDescent="0.3">
      <c r="B993" s="187"/>
      <c r="C993" s="186"/>
    </row>
    <row r="994" spans="2:3" x14ac:dyDescent="0.3">
      <c r="B994" s="187"/>
      <c r="C994" s="186"/>
    </row>
    <row r="995" spans="2:3" x14ac:dyDescent="0.3">
      <c r="B995" s="187"/>
      <c r="C995" s="186"/>
    </row>
    <row r="996" spans="2:3" x14ac:dyDescent="0.3">
      <c r="B996" s="187"/>
      <c r="C996" s="186"/>
    </row>
    <row r="997" spans="2:3" x14ac:dyDescent="0.3">
      <c r="B997" s="187"/>
      <c r="C997" s="186"/>
    </row>
    <row r="998" spans="2:3" x14ac:dyDescent="0.3">
      <c r="B998" s="187"/>
      <c r="C998" s="186"/>
    </row>
    <row r="999" spans="2:3" x14ac:dyDescent="0.3">
      <c r="B999" s="187"/>
      <c r="C999" s="186"/>
    </row>
    <row r="1000" spans="2:3" x14ac:dyDescent="0.3">
      <c r="B1000" s="187"/>
      <c r="C1000" s="186"/>
    </row>
    <row r="1001" spans="2:3" x14ac:dyDescent="0.3">
      <c r="B1001" s="187"/>
      <c r="C1001" s="186"/>
    </row>
    <row r="1002" spans="2:3" x14ac:dyDescent="0.3">
      <c r="B1002" s="187"/>
      <c r="C1002" s="186"/>
    </row>
    <row r="1003" spans="2:3" x14ac:dyDescent="0.3">
      <c r="B1003" s="187"/>
      <c r="C1003" s="186"/>
    </row>
    <row r="1004" spans="2:3" x14ac:dyDescent="0.3">
      <c r="B1004" s="187"/>
      <c r="C1004" s="186"/>
    </row>
    <row r="1005" spans="2:3" x14ac:dyDescent="0.3">
      <c r="B1005" s="187"/>
      <c r="C1005" s="186"/>
    </row>
    <row r="1006" spans="2:3" x14ac:dyDescent="0.3">
      <c r="B1006" s="187"/>
      <c r="C1006" s="186"/>
    </row>
    <row r="1007" spans="2:3" x14ac:dyDescent="0.3">
      <c r="B1007" s="187"/>
      <c r="C1007" s="186"/>
    </row>
    <row r="1008" spans="2:3" x14ac:dyDescent="0.3">
      <c r="B1008" s="187"/>
      <c r="C1008" s="186"/>
    </row>
    <row r="1009" spans="2:3" x14ac:dyDescent="0.3">
      <c r="B1009" s="187"/>
      <c r="C1009" s="186"/>
    </row>
    <row r="1010" spans="2:3" x14ac:dyDescent="0.3">
      <c r="B1010" s="187"/>
      <c r="C1010" s="186"/>
    </row>
    <row r="1011" spans="2:3" x14ac:dyDescent="0.3">
      <c r="B1011" s="187"/>
      <c r="C1011" s="186"/>
    </row>
    <row r="1012" spans="2:3" x14ac:dyDescent="0.3">
      <c r="B1012" s="187"/>
      <c r="C1012" s="186"/>
    </row>
    <row r="1013" spans="2:3" x14ac:dyDescent="0.3">
      <c r="B1013" s="187"/>
      <c r="C1013" s="186"/>
    </row>
    <row r="1014" spans="2:3" x14ac:dyDescent="0.3">
      <c r="B1014" s="187"/>
      <c r="C1014" s="186"/>
    </row>
    <row r="1015" spans="2:3" x14ac:dyDescent="0.3">
      <c r="B1015" s="187"/>
      <c r="C1015" s="186"/>
    </row>
    <row r="1016" spans="2:3" x14ac:dyDescent="0.3">
      <c r="B1016" s="187"/>
      <c r="C1016" s="186"/>
    </row>
    <row r="1017" spans="2:3" x14ac:dyDescent="0.3">
      <c r="B1017" s="187"/>
      <c r="C1017" s="186"/>
    </row>
    <row r="1018" spans="2:3" x14ac:dyDescent="0.3">
      <c r="B1018" s="187"/>
      <c r="C1018" s="186"/>
    </row>
    <row r="1019" spans="2:3" x14ac:dyDescent="0.3">
      <c r="B1019" s="187"/>
      <c r="C1019" s="186"/>
    </row>
    <row r="1020" spans="2:3" x14ac:dyDescent="0.3">
      <c r="B1020" s="187"/>
      <c r="C1020" s="186"/>
    </row>
    <row r="1021" spans="2:3" x14ac:dyDescent="0.3">
      <c r="B1021" s="187"/>
      <c r="C1021" s="186"/>
    </row>
    <row r="1022" spans="2:3" x14ac:dyDescent="0.3">
      <c r="B1022" s="187"/>
      <c r="C1022" s="186"/>
    </row>
    <row r="1023" spans="2:3" x14ac:dyDescent="0.3">
      <c r="B1023" s="187"/>
      <c r="C1023" s="186"/>
    </row>
    <row r="1024" spans="2:3" x14ac:dyDescent="0.3">
      <c r="B1024" s="187"/>
      <c r="C1024" s="186"/>
    </row>
    <row r="1025" spans="2:3" x14ac:dyDescent="0.3">
      <c r="B1025" s="187"/>
      <c r="C1025" s="186"/>
    </row>
    <row r="1026" spans="2:3" x14ac:dyDescent="0.3">
      <c r="B1026" s="187"/>
      <c r="C1026" s="186"/>
    </row>
    <row r="1027" spans="2:3" x14ac:dyDescent="0.3">
      <c r="B1027" s="187"/>
      <c r="C1027" s="186"/>
    </row>
    <row r="1028" spans="2:3" x14ac:dyDescent="0.3">
      <c r="B1028" s="187"/>
      <c r="C1028" s="186"/>
    </row>
    <row r="1029" spans="2:3" x14ac:dyDescent="0.3">
      <c r="B1029" s="187"/>
      <c r="C1029" s="186"/>
    </row>
    <row r="1030" spans="2:3" x14ac:dyDescent="0.3">
      <c r="B1030" s="187"/>
      <c r="C1030" s="186"/>
    </row>
    <row r="1031" spans="2:3" x14ac:dyDescent="0.3">
      <c r="B1031" s="187"/>
      <c r="C1031" s="186"/>
    </row>
    <row r="1032" spans="2:3" x14ac:dyDescent="0.3">
      <c r="B1032" s="187"/>
      <c r="C1032" s="186"/>
    </row>
    <row r="1033" spans="2:3" x14ac:dyDescent="0.3">
      <c r="B1033" s="187"/>
      <c r="C1033" s="186"/>
    </row>
    <row r="1034" spans="2:3" x14ac:dyDescent="0.3">
      <c r="B1034" s="187"/>
      <c r="C1034" s="186"/>
    </row>
    <row r="1035" spans="2:3" x14ac:dyDescent="0.3">
      <c r="B1035" s="187"/>
      <c r="C1035" s="186"/>
    </row>
    <row r="1036" spans="2:3" x14ac:dyDescent="0.3">
      <c r="B1036" s="187"/>
      <c r="C1036" s="186"/>
    </row>
    <row r="1037" spans="2:3" x14ac:dyDescent="0.3">
      <c r="B1037" s="187"/>
      <c r="C1037" s="186"/>
    </row>
    <row r="1038" spans="2:3" x14ac:dyDescent="0.3">
      <c r="B1038" s="187"/>
      <c r="C1038" s="186"/>
    </row>
    <row r="1039" spans="2:3" x14ac:dyDescent="0.3">
      <c r="B1039" s="187"/>
      <c r="C1039" s="186"/>
    </row>
    <row r="1040" spans="2:3" x14ac:dyDescent="0.3">
      <c r="B1040" s="187"/>
      <c r="C1040" s="186"/>
    </row>
    <row r="1041" spans="2:3" x14ac:dyDescent="0.3">
      <c r="B1041" s="187"/>
      <c r="C1041" s="186"/>
    </row>
    <row r="1042" spans="2:3" x14ac:dyDescent="0.3">
      <c r="B1042" s="187"/>
      <c r="C1042" s="186"/>
    </row>
    <row r="1043" spans="2:3" x14ac:dyDescent="0.3">
      <c r="B1043" s="187"/>
      <c r="C1043" s="186"/>
    </row>
    <row r="1044" spans="2:3" x14ac:dyDescent="0.3">
      <c r="B1044" s="187"/>
      <c r="C1044" s="186"/>
    </row>
    <row r="1045" spans="2:3" x14ac:dyDescent="0.3">
      <c r="B1045" s="187"/>
      <c r="C1045" s="186"/>
    </row>
    <row r="1046" spans="2:3" x14ac:dyDescent="0.3">
      <c r="B1046" s="187"/>
      <c r="C1046" s="186"/>
    </row>
    <row r="1047" spans="2:3" x14ac:dyDescent="0.3">
      <c r="B1047" s="187"/>
      <c r="C1047" s="186"/>
    </row>
    <row r="1048" spans="2:3" x14ac:dyDescent="0.3">
      <c r="B1048" s="187"/>
      <c r="C1048" s="186"/>
    </row>
    <row r="1049" spans="2:3" x14ac:dyDescent="0.3">
      <c r="B1049" s="187"/>
      <c r="C1049" s="186"/>
    </row>
    <row r="1050" spans="2:3" x14ac:dyDescent="0.3">
      <c r="B1050" s="187"/>
      <c r="C1050" s="186"/>
    </row>
    <row r="1051" spans="2:3" x14ac:dyDescent="0.3">
      <c r="B1051" s="187"/>
      <c r="C1051" s="186"/>
    </row>
    <row r="1052" spans="2:3" x14ac:dyDescent="0.3">
      <c r="B1052" s="187"/>
      <c r="C1052" s="186"/>
    </row>
    <row r="1053" spans="2:3" x14ac:dyDescent="0.3">
      <c r="B1053" s="187"/>
      <c r="C1053" s="186"/>
    </row>
    <row r="1054" spans="2:3" x14ac:dyDescent="0.3">
      <c r="B1054" s="187"/>
      <c r="C1054" s="186"/>
    </row>
    <row r="1055" spans="2:3" x14ac:dyDescent="0.3">
      <c r="B1055" s="187"/>
      <c r="C1055" s="186"/>
    </row>
    <row r="1056" spans="2:3" x14ac:dyDescent="0.3">
      <c r="B1056" s="187"/>
      <c r="C1056" s="186"/>
    </row>
    <row r="1057" spans="2:3" x14ac:dyDescent="0.3">
      <c r="B1057" s="187"/>
      <c r="C1057" s="186"/>
    </row>
    <row r="1058" spans="2:3" x14ac:dyDescent="0.3">
      <c r="B1058" s="187"/>
      <c r="C1058" s="186"/>
    </row>
    <row r="1059" spans="2:3" x14ac:dyDescent="0.3">
      <c r="B1059" s="187"/>
      <c r="C1059" s="186"/>
    </row>
    <row r="1060" spans="2:3" x14ac:dyDescent="0.3">
      <c r="B1060" s="187"/>
      <c r="C1060" s="186"/>
    </row>
    <row r="1061" spans="2:3" x14ac:dyDescent="0.3">
      <c r="B1061" s="187"/>
      <c r="C1061" s="186"/>
    </row>
    <row r="1062" spans="2:3" x14ac:dyDescent="0.3">
      <c r="B1062" s="187"/>
      <c r="C1062" s="186"/>
    </row>
    <row r="1063" spans="2:3" x14ac:dyDescent="0.3">
      <c r="B1063" s="187"/>
      <c r="C1063" s="186"/>
    </row>
    <row r="1064" spans="2:3" x14ac:dyDescent="0.3">
      <c r="B1064" s="187"/>
      <c r="C1064" s="186"/>
    </row>
    <row r="1065" spans="2:3" x14ac:dyDescent="0.3">
      <c r="B1065" s="187"/>
      <c r="C1065" s="186"/>
    </row>
    <row r="1066" spans="2:3" x14ac:dyDescent="0.3">
      <c r="B1066" s="187"/>
      <c r="C1066" s="186"/>
    </row>
    <row r="1067" spans="2:3" x14ac:dyDescent="0.3">
      <c r="B1067" s="187"/>
      <c r="C1067" s="186"/>
    </row>
    <row r="1068" spans="2:3" x14ac:dyDescent="0.3">
      <c r="B1068" s="187"/>
      <c r="C1068" s="186"/>
    </row>
    <row r="1069" spans="2:3" x14ac:dyDescent="0.3">
      <c r="B1069" s="187"/>
      <c r="C1069" s="186"/>
    </row>
    <row r="1070" spans="2:3" x14ac:dyDescent="0.3">
      <c r="B1070" s="187"/>
      <c r="C1070" s="186"/>
    </row>
    <row r="1071" spans="2:3" x14ac:dyDescent="0.3">
      <c r="B1071" s="187"/>
      <c r="C1071" s="186"/>
    </row>
    <row r="1072" spans="2:3" x14ac:dyDescent="0.3">
      <c r="B1072" s="187"/>
      <c r="C1072" s="186"/>
    </row>
    <row r="1073" spans="2:3" x14ac:dyDescent="0.3">
      <c r="B1073" s="187"/>
      <c r="C1073" s="186"/>
    </row>
    <row r="1074" spans="2:3" x14ac:dyDescent="0.3">
      <c r="B1074" s="187"/>
      <c r="C1074" s="186"/>
    </row>
    <row r="1075" spans="2:3" x14ac:dyDescent="0.3">
      <c r="B1075" s="187"/>
      <c r="C1075" s="186"/>
    </row>
    <row r="1076" spans="2:3" x14ac:dyDescent="0.3">
      <c r="B1076" s="187"/>
      <c r="C1076" s="186"/>
    </row>
    <row r="1077" spans="2:3" x14ac:dyDescent="0.3">
      <c r="B1077" s="187"/>
      <c r="C1077" s="186"/>
    </row>
    <row r="1078" spans="2:3" x14ac:dyDescent="0.3">
      <c r="B1078" s="187"/>
      <c r="C1078" s="186"/>
    </row>
    <row r="1079" spans="2:3" x14ac:dyDescent="0.3">
      <c r="B1079" s="187"/>
      <c r="C1079" s="186"/>
    </row>
    <row r="1080" spans="2:3" x14ac:dyDescent="0.3">
      <c r="B1080" s="187"/>
      <c r="C1080" s="186"/>
    </row>
    <row r="1081" spans="2:3" x14ac:dyDescent="0.3">
      <c r="B1081" s="187"/>
      <c r="C1081" s="186"/>
    </row>
    <row r="1082" spans="2:3" x14ac:dyDescent="0.3">
      <c r="B1082" s="187"/>
      <c r="C1082" s="186"/>
    </row>
    <row r="1083" spans="2:3" x14ac:dyDescent="0.3">
      <c r="B1083" s="187"/>
      <c r="C1083" s="186"/>
    </row>
    <row r="1084" spans="2:3" x14ac:dyDescent="0.3">
      <c r="B1084" s="187"/>
      <c r="C1084" s="186"/>
    </row>
    <row r="1085" spans="2:3" x14ac:dyDescent="0.3">
      <c r="B1085" s="187"/>
      <c r="C1085" s="186"/>
    </row>
    <row r="1086" spans="2:3" x14ac:dyDescent="0.3">
      <c r="B1086" s="187"/>
      <c r="C1086" s="186"/>
    </row>
    <row r="1087" spans="2:3" x14ac:dyDescent="0.3">
      <c r="B1087" s="187"/>
      <c r="C1087" s="186"/>
    </row>
    <row r="1088" spans="2:3" x14ac:dyDescent="0.3">
      <c r="B1088" s="187"/>
      <c r="C1088" s="186"/>
    </row>
    <row r="1089" spans="2:3" x14ac:dyDescent="0.3">
      <c r="B1089" s="187"/>
      <c r="C1089" s="186"/>
    </row>
    <row r="1090" spans="2:3" x14ac:dyDescent="0.3">
      <c r="B1090" s="187"/>
      <c r="C1090" s="186"/>
    </row>
    <row r="1091" spans="2:3" x14ac:dyDescent="0.3">
      <c r="B1091" s="187"/>
      <c r="C1091" s="186"/>
    </row>
    <row r="1092" spans="2:3" x14ac:dyDescent="0.3">
      <c r="B1092" s="187"/>
      <c r="C1092" s="186"/>
    </row>
    <row r="1093" spans="2:3" x14ac:dyDescent="0.3">
      <c r="B1093" s="187"/>
      <c r="C1093" s="186"/>
    </row>
    <row r="1094" spans="2:3" x14ac:dyDescent="0.3">
      <c r="B1094" s="187"/>
      <c r="C1094" s="186"/>
    </row>
    <row r="1095" spans="2:3" x14ac:dyDescent="0.3">
      <c r="B1095" s="187"/>
      <c r="C1095" s="186"/>
    </row>
    <row r="1096" spans="2:3" x14ac:dyDescent="0.3">
      <c r="B1096" s="187"/>
      <c r="C1096" s="186"/>
    </row>
    <row r="1097" spans="2:3" x14ac:dyDescent="0.3">
      <c r="B1097" s="187"/>
      <c r="C1097" s="186"/>
    </row>
    <row r="1098" spans="2:3" x14ac:dyDescent="0.3">
      <c r="B1098" s="187"/>
      <c r="C1098" s="186"/>
    </row>
    <row r="1099" spans="2:3" x14ac:dyDescent="0.3">
      <c r="B1099" s="187"/>
      <c r="C1099" s="186"/>
    </row>
    <row r="1100" spans="2:3" x14ac:dyDescent="0.3">
      <c r="B1100" s="187"/>
      <c r="C1100" s="186"/>
    </row>
    <row r="1101" spans="2:3" x14ac:dyDescent="0.3">
      <c r="B1101" s="187"/>
      <c r="C1101" s="186"/>
    </row>
    <row r="1102" spans="2:3" x14ac:dyDescent="0.3">
      <c r="B1102" s="187"/>
      <c r="C1102" s="186"/>
    </row>
    <row r="1103" spans="2:3" x14ac:dyDescent="0.3">
      <c r="B1103" s="187"/>
      <c r="C1103" s="186"/>
    </row>
    <row r="1104" spans="2:3" x14ac:dyDescent="0.3">
      <c r="B1104" s="187"/>
      <c r="C1104" s="186"/>
    </row>
    <row r="1105" spans="2:3" x14ac:dyDescent="0.3">
      <c r="B1105" s="187"/>
      <c r="C1105" s="186"/>
    </row>
    <row r="1106" spans="2:3" x14ac:dyDescent="0.3">
      <c r="B1106" s="187"/>
      <c r="C1106" s="186"/>
    </row>
    <row r="1107" spans="2:3" x14ac:dyDescent="0.3">
      <c r="B1107" s="187"/>
      <c r="C1107" s="186"/>
    </row>
    <row r="1108" spans="2:3" x14ac:dyDescent="0.3">
      <c r="B1108" s="187"/>
      <c r="C1108" s="186"/>
    </row>
    <row r="1109" spans="2:3" x14ac:dyDescent="0.3">
      <c r="B1109" s="187"/>
      <c r="C1109" s="186"/>
    </row>
    <row r="1110" spans="2:3" x14ac:dyDescent="0.3">
      <c r="B1110" s="187"/>
      <c r="C1110" s="186"/>
    </row>
    <row r="1111" spans="2:3" x14ac:dyDescent="0.3">
      <c r="B1111" s="187"/>
      <c r="C1111" s="186"/>
    </row>
    <row r="1112" spans="2:3" x14ac:dyDescent="0.3">
      <c r="B1112" s="187"/>
      <c r="C1112" s="186"/>
    </row>
    <row r="1113" spans="2:3" x14ac:dyDescent="0.3">
      <c r="B1113" s="187"/>
      <c r="C1113" s="186"/>
    </row>
    <row r="1114" spans="2:3" x14ac:dyDescent="0.3">
      <c r="B1114" s="187"/>
      <c r="C1114" s="186"/>
    </row>
    <row r="1115" spans="2:3" x14ac:dyDescent="0.3">
      <c r="B1115" s="187"/>
      <c r="C1115" s="186"/>
    </row>
    <row r="1116" spans="2:3" x14ac:dyDescent="0.3">
      <c r="B1116" s="187"/>
      <c r="C1116" s="186"/>
    </row>
    <row r="1117" spans="2:3" x14ac:dyDescent="0.3">
      <c r="B1117" s="187"/>
      <c r="C1117" s="186"/>
    </row>
    <row r="1118" spans="2:3" x14ac:dyDescent="0.3">
      <c r="B1118" s="187"/>
      <c r="C1118" s="186"/>
    </row>
    <row r="1119" spans="2:3" x14ac:dyDescent="0.3">
      <c r="B1119" s="187"/>
      <c r="C1119" s="186"/>
    </row>
    <row r="1120" spans="2:3" x14ac:dyDescent="0.3">
      <c r="B1120" s="187"/>
      <c r="C1120" s="186"/>
    </row>
    <row r="1121" spans="2:3" x14ac:dyDescent="0.3">
      <c r="B1121" s="187"/>
      <c r="C1121" s="186"/>
    </row>
    <row r="1122" spans="2:3" x14ac:dyDescent="0.3">
      <c r="B1122" s="187"/>
      <c r="C1122" s="186"/>
    </row>
    <row r="1123" spans="2:3" x14ac:dyDescent="0.3">
      <c r="B1123" s="187"/>
      <c r="C1123" s="186"/>
    </row>
    <row r="1124" spans="2:3" x14ac:dyDescent="0.3">
      <c r="B1124" s="187"/>
      <c r="C1124" s="186"/>
    </row>
    <row r="1125" spans="2:3" x14ac:dyDescent="0.3">
      <c r="B1125" s="187"/>
      <c r="C1125" s="186"/>
    </row>
    <row r="1126" spans="2:3" x14ac:dyDescent="0.3">
      <c r="B1126" s="187"/>
      <c r="C1126" s="186"/>
    </row>
    <row r="1127" spans="2:3" x14ac:dyDescent="0.3">
      <c r="B1127" s="187"/>
      <c r="C1127" s="186"/>
    </row>
    <row r="1128" spans="2:3" x14ac:dyDescent="0.3">
      <c r="B1128" s="187"/>
      <c r="C1128" s="186"/>
    </row>
    <row r="1129" spans="2:3" x14ac:dyDescent="0.3">
      <c r="B1129" s="187"/>
      <c r="C1129" s="186"/>
    </row>
    <row r="1130" spans="2:3" x14ac:dyDescent="0.3">
      <c r="B1130" s="187"/>
      <c r="C1130" s="186"/>
    </row>
    <row r="1131" spans="2:3" x14ac:dyDescent="0.3">
      <c r="B1131" s="187"/>
      <c r="C1131" s="186"/>
    </row>
    <row r="1132" spans="2:3" x14ac:dyDescent="0.3">
      <c r="B1132" s="187"/>
      <c r="C1132" s="186"/>
    </row>
    <row r="1133" spans="2:3" x14ac:dyDescent="0.3">
      <c r="B1133" s="187"/>
      <c r="C1133" s="186"/>
    </row>
    <row r="1134" spans="2:3" x14ac:dyDescent="0.3">
      <c r="B1134" s="187"/>
      <c r="C1134" s="186"/>
    </row>
    <row r="1135" spans="2:3" x14ac:dyDescent="0.3">
      <c r="B1135" s="187"/>
      <c r="C1135" s="186"/>
    </row>
    <row r="1136" spans="2:3" x14ac:dyDescent="0.3">
      <c r="B1136" s="187"/>
      <c r="C1136" s="186"/>
    </row>
    <row r="1137" spans="2:3" x14ac:dyDescent="0.3">
      <c r="B1137" s="187"/>
      <c r="C1137" s="186"/>
    </row>
    <row r="1138" spans="2:3" x14ac:dyDescent="0.3">
      <c r="B1138" s="187"/>
      <c r="C1138" s="186"/>
    </row>
    <row r="1139" spans="2:3" x14ac:dyDescent="0.3">
      <c r="B1139" s="187"/>
      <c r="C1139" s="186"/>
    </row>
    <row r="1140" spans="2:3" x14ac:dyDescent="0.3">
      <c r="B1140" s="187"/>
      <c r="C1140" s="186"/>
    </row>
    <row r="1141" spans="2:3" x14ac:dyDescent="0.3">
      <c r="B1141" s="187"/>
      <c r="C1141" s="186"/>
    </row>
    <row r="1142" spans="2:3" x14ac:dyDescent="0.3">
      <c r="B1142" s="187"/>
      <c r="C1142" s="186"/>
    </row>
    <row r="1143" spans="2:3" x14ac:dyDescent="0.3">
      <c r="B1143" s="187"/>
      <c r="C1143" s="186"/>
    </row>
    <row r="1144" spans="2:3" x14ac:dyDescent="0.3">
      <c r="B1144" s="187"/>
      <c r="C1144" s="186"/>
    </row>
    <row r="1145" spans="2:3" x14ac:dyDescent="0.3">
      <c r="B1145" s="187"/>
      <c r="C1145" s="186"/>
    </row>
    <row r="1146" spans="2:3" x14ac:dyDescent="0.3">
      <c r="B1146" s="187"/>
      <c r="C1146" s="186"/>
    </row>
    <row r="1147" spans="2:3" x14ac:dyDescent="0.3">
      <c r="B1147" s="187"/>
      <c r="C1147" s="186"/>
    </row>
    <row r="1148" spans="2:3" x14ac:dyDescent="0.3">
      <c r="B1148" s="187"/>
      <c r="C1148" s="186"/>
    </row>
    <row r="1149" spans="2:3" x14ac:dyDescent="0.3">
      <c r="B1149" s="187"/>
      <c r="C1149" s="186"/>
    </row>
    <row r="1150" spans="2:3" x14ac:dyDescent="0.3">
      <c r="B1150" s="187"/>
      <c r="C1150" s="186"/>
    </row>
    <row r="1151" spans="2:3" x14ac:dyDescent="0.3">
      <c r="B1151" s="187"/>
      <c r="C1151" s="186"/>
    </row>
    <row r="1152" spans="2:3" x14ac:dyDescent="0.3">
      <c r="B1152" s="187"/>
      <c r="C1152" s="186"/>
    </row>
    <row r="1153" spans="2:3" x14ac:dyDescent="0.3">
      <c r="B1153" s="187"/>
      <c r="C1153" s="186"/>
    </row>
    <row r="1154" spans="2:3" x14ac:dyDescent="0.3">
      <c r="B1154" s="187"/>
      <c r="C1154" s="186"/>
    </row>
    <row r="1155" spans="2:3" x14ac:dyDescent="0.3">
      <c r="B1155" s="187"/>
      <c r="C1155" s="186"/>
    </row>
    <row r="1156" spans="2:3" x14ac:dyDescent="0.3">
      <c r="B1156" s="187"/>
      <c r="C1156" s="186"/>
    </row>
    <row r="1157" spans="2:3" x14ac:dyDescent="0.3">
      <c r="B1157" s="187"/>
      <c r="C1157" s="186"/>
    </row>
    <row r="1158" spans="2:3" x14ac:dyDescent="0.3">
      <c r="B1158" s="187"/>
      <c r="C1158" s="186"/>
    </row>
    <row r="1159" spans="2:3" x14ac:dyDescent="0.3">
      <c r="B1159" s="187"/>
      <c r="C1159" s="186"/>
    </row>
    <row r="1160" spans="2:3" x14ac:dyDescent="0.3">
      <c r="B1160" s="187"/>
      <c r="C1160" s="186"/>
    </row>
    <row r="1161" spans="2:3" x14ac:dyDescent="0.3">
      <c r="B1161" s="187"/>
      <c r="C1161" s="186"/>
    </row>
    <row r="1162" spans="2:3" x14ac:dyDescent="0.3">
      <c r="B1162" s="187"/>
      <c r="C1162" s="186"/>
    </row>
    <row r="1163" spans="2:3" x14ac:dyDescent="0.3">
      <c r="B1163" s="187"/>
      <c r="C1163" s="186"/>
    </row>
    <row r="1164" spans="2:3" x14ac:dyDescent="0.3">
      <c r="B1164" s="187"/>
      <c r="C1164" s="186"/>
    </row>
    <row r="1165" spans="2:3" x14ac:dyDescent="0.3">
      <c r="B1165" s="187"/>
      <c r="C1165" s="186"/>
    </row>
    <row r="1166" spans="2:3" x14ac:dyDescent="0.3">
      <c r="B1166" s="187"/>
      <c r="C1166" s="186"/>
    </row>
    <row r="1167" spans="2:3" x14ac:dyDescent="0.3">
      <c r="B1167" s="187"/>
      <c r="C1167" s="186"/>
    </row>
    <row r="1168" spans="2:3" x14ac:dyDescent="0.3">
      <c r="B1168" s="187"/>
      <c r="C1168" s="186"/>
    </row>
    <row r="1169" spans="2:3" x14ac:dyDescent="0.3">
      <c r="B1169" s="187"/>
      <c r="C1169" s="186"/>
    </row>
    <row r="1170" spans="2:3" x14ac:dyDescent="0.3">
      <c r="B1170" s="187"/>
      <c r="C1170" s="186"/>
    </row>
    <row r="1171" spans="2:3" x14ac:dyDescent="0.3">
      <c r="B1171" s="187"/>
      <c r="C1171" s="186"/>
    </row>
    <row r="1172" spans="2:3" x14ac:dyDescent="0.3">
      <c r="B1172" s="187"/>
      <c r="C1172" s="186"/>
    </row>
    <row r="1173" spans="2:3" x14ac:dyDescent="0.3">
      <c r="B1173" s="187"/>
      <c r="C1173" s="186"/>
    </row>
    <row r="1174" spans="2:3" x14ac:dyDescent="0.3">
      <c r="B1174" s="187"/>
      <c r="C1174" s="186"/>
    </row>
    <row r="1175" spans="2:3" x14ac:dyDescent="0.3">
      <c r="B1175" s="187"/>
      <c r="C1175" s="186"/>
    </row>
    <row r="1176" spans="2:3" x14ac:dyDescent="0.3">
      <c r="B1176" s="187"/>
      <c r="C1176" s="186"/>
    </row>
    <row r="1177" spans="2:3" x14ac:dyDescent="0.3">
      <c r="B1177" s="187"/>
      <c r="C1177" s="186"/>
    </row>
    <row r="1178" spans="2:3" x14ac:dyDescent="0.3">
      <c r="B1178" s="187"/>
      <c r="C1178" s="186"/>
    </row>
    <row r="1179" spans="2:3" x14ac:dyDescent="0.3">
      <c r="B1179" s="187"/>
      <c r="C1179" s="186"/>
    </row>
    <row r="1180" spans="2:3" x14ac:dyDescent="0.3">
      <c r="B1180" s="187"/>
      <c r="C1180" s="186"/>
    </row>
    <row r="1181" spans="2:3" x14ac:dyDescent="0.3">
      <c r="B1181" s="187"/>
      <c r="C1181" s="186"/>
    </row>
    <row r="1182" spans="2:3" x14ac:dyDescent="0.3">
      <c r="B1182" s="187"/>
      <c r="C1182" s="186"/>
    </row>
    <row r="1183" spans="2:3" x14ac:dyDescent="0.3">
      <c r="B1183" s="187"/>
      <c r="C1183" s="186"/>
    </row>
    <row r="1184" spans="2:3" x14ac:dyDescent="0.3">
      <c r="B1184" s="187"/>
      <c r="C1184" s="186"/>
    </row>
    <row r="1185" spans="2:3" x14ac:dyDescent="0.3">
      <c r="B1185" s="187"/>
      <c r="C1185" s="186"/>
    </row>
    <row r="1186" spans="2:3" x14ac:dyDescent="0.3">
      <c r="B1186" s="187"/>
      <c r="C1186" s="186"/>
    </row>
    <row r="1187" spans="2:3" x14ac:dyDescent="0.3">
      <c r="B1187" s="187"/>
      <c r="C1187" s="186"/>
    </row>
    <row r="1188" spans="2:3" x14ac:dyDescent="0.3">
      <c r="B1188" s="187"/>
      <c r="C1188" s="186"/>
    </row>
    <row r="1189" spans="2:3" x14ac:dyDescent="0.3">
      <c r="B1189" s="187"/>
      <c r="C1189" s="186"/>
    </row>
    <row r="1190" spans="2:3" x14ac:dyDescent="0.3">
      <c r="B1190" s="187"/>
      <c r="C1190" s="186"/>
    </row>
    <row r="1191" spans="2:3" x14ac:dyDescent="0.3">
      <c r="B1191" s="187"/>
      <c r="C1191" s="186"/>
    </row>
    <row r="1192" spans="2:3" x14ac:dyDescent="0.3">
      <c r="B1192" s="187"/>
      <c r="C1192" s="186"/>
    </row>
    <row r="1193" spans="2:3" x14ac:dyDescent="0.3">
      <c r="B1193" s="187"/>
      <c r="C1193" s="186"/>
    </row>
    <row r="1194" spans="2:3" x14ac:dyDescent="0.3">
      <c r="B1194" s="187"/>
      <c r="C1194" s="186"/>
    </row>
    <row r="1195" spans="2:3" x14ac:dyDescent="0.3">
      <c r="B1195" s="187"/>
      <c r="C1195" s="186"/>
    </row>
    <row r="1196" spans="2:3" x14ac:dyDescent="0.3">
      <c r="B1196" s="187"/>
      <c r="C1196" s="186"/>
    </row>
    <row r="1197" spans="2:3" x14ac:dyDescent="0.3">
      <c r="B1197" s="187"/>
      <c r="C1197" s="186"/>
    </row>
    <row r="1198" spans="2:3" x14ac:dyDescent="0.3">
      <c r="B1198" s="187"/>
      <c r="C1198" s="186"/>
    </row>
    <row r="1199" spans="2:3" x14ac:dyDescent="0.3">
      <c r="B1199" s="187"/>
      <c r="C1199" s="186"/>
    </row>
    <row r="1200" spans="2:3" x14ac:dyDescent="0.3">
      <c r="B1200" s="187"/>
      <c r="C1200" s="186"/>
    </row>
    <row r="1201" spans="2:3" x14ac:dyDescent="0.3">
      <c r="B1201" s="187"/>
      <c r="C1201" s="186"/>
    </row>
    <row r="1202" spans="2:3" x14ac:dyDescent="0.3">
      <c r="B1202" s="187"/>
      <c r="C1202" s="186"/>
    </row>
    <row r="1203" spans="2:3" x14ac:dyDescent="0.3">
      <c r="B1203" s="187"/>
      <c r="C1203" s="186"/>
    </row>
    <row r="1204" spans="2:3" x14ac:dyDescent="0.3">
      <c r="B1204" s="187"/>
      <c r="C1204" s="186"/>
    </row>
    <row r="1205" spans="2:3" x14ac:dyDescent="0.3">
      <c r="B1205" s="187"/>
      <c r="C1205" s="186"/>
    </row>
    <row r="1206" spans="2:3" x14ac:dyDescent="0.3">
      <c r="B1206" s="187"/>
      <c r="C1206" s="186"/>
    </row>
    <row r="1207" spans="2:3" x14ac:dyDescent="0.3">
      <c r="B1207" s="187"/>
      <c r="C1207" s="186"/>
    </row>
    <row r="1208" spans="2:3" x14ac:dyDescent="0.3">
      <c r="B1208" s="187"/>
      <c r="C1208" s="186"/>
    </row>
    <row r="1209" spans="2:3" x14ac:dyDescent="0.3">
      <c r="B1209" s="187"/>
      <c r="C1209" s="186"/>
    </row>
    <row r="1210" spans="2:3" x14ac:dyDescent="0.3">
      <c r="B1210" s="187"/>
      <c r="C1210" s="186"/>
    </row>
    <row r="1211" spans="2:3" x14ac:dyDescent="0.3">
      <c r="B1211" s="187"/>
      <c r="C1211" s="186"/>
    </row>
    <row r="1212" spans="2:3" x14ac:dyDescent="0.3">
      <c r="B1212" s="187"/>
      <c r="C1212" s="186"/>
    </row>
    <row r="1213" spans="2:3" x14ac:dyDescent="0.3">
      <c r="B1213" s="187"/>
      <c r="C1213" s="186"/>
    </row>
    <row r="1214" spans="2:3" x14ac:dyDescent="0.3">
      <c r="B1214" s="187"/>
      <c r="C1214" s="186"/>
    </row>
    <row r="1215" spans="2:3" x14ac:dyDescent="0.3">
      <c r="B1215" s="187"/>
      <c r="C1215" s="186"/>
    </row>
    <row r="1216" spans="2:3" x14ac:dyDescent="0.3">
      <c r="B1216" s="187"/>
      <c r="C1216" s="186"/>
    </row>
    <row r="1217" spans="2:3" x14ac:dyDescent="0.3">
      <c r="B1217" s="187"/>
      <c r="C1217" s="186"/>
    </row>
    <row r="1218" spans="2:3" x14ac:dyDescent="0.3">
      <c r="B1218" s="187"/>
      <c r="C1218" s="186"/>
    </row>
    <row r="1219" spans="2:3" x14ac:dyDescent="0.3">
      <c r="B1219" s="187"/>
      <c r="C1219" s="186"/>
    </row>
    <row r="1220" spans="2:3" x14ac:dyDescent="0.3">
      <c r="B1220" s="187"/>
      <c r="C1220" s="186"/>
    </row>
    <row r="1221" spans="2:3" x14ac:dyDescent="0.3">
      <c r="B1221" s="187"/>
      <c r="C1221" s="186"/>
    </row>
    <row r="1222" spans="2:3" x14ac:dyDescent="0.3">
      <c r="B1222" s="187"/>
      <c r="C1222" s="186"/>
    </row>
    <row r="1223" spans="2:3" x14ac:dyDescent="0.3">
      <c r="B1223" s="187"/>
      <c r="C1223" s="186"/>
    </row>
    <row r="1224" spans="2:3" x14ac:dyDescent="0.3">
      <c r="B1224" s="187"/>
      <c r="C1224" s="186"/>
    </row>
    <row r="1225" spans="2:3" x14ac:dyDescent="0.3">
      <c r="B1225" s="187"/>
      <c r="C1225" s="186"/>
    </row>
    <row r="1226" spans="2:3" x14ac:dyDescent="0.3">
      <c r="B1226" s="187"/>
      <c r="C1226" s="186"/>
    </row>
    <row r="1227" spans="2:3" x14ac:dyDescent="0.3">
      <c r="B1227" s="187"/>
      <c r="C1227" s="186"/>
    </row>
    <row r="1228" spans="2:3" x14ac:dyDescent="0.3">
      <c r="B1228" s="187"/>
      <c r="C1228" s="186"/>
    </row>
    <row r="1229" spans="2:3" x14ac:dyDescent="0.3">
      <c r="B1229" s="187"/>
      <c r="C1229" s="186"/>
    </row>
    <row r="1230" spans="2:3" x14ac:dyDescent="0.3">
      <c r="B1230" s="187"/>
      <c r="C1230" s="186"/>
    </row>
    <row r="1231" spans="2:3" x14ac:dyDescent="0.3">
      <c r="B1231" s="187"/>
      <c r="C1231" s="186"/>
    </row>
    <row r="1232" spans="2:3" x14ac:dyDescent="0.3">
      <c r="B1232" s="187"/>
      <c r="C1232" s="186"/>
    </row>
    <row r="1233" spans="2:3" x14ac:dyDescent="0.3">
      <c r="B1233" s="187"/>
      <c r="C1233" s="186"/>
    </row>
    <row r="1234" spans="2:3" x14ac:dyDescent="0.3">
      <c r="B1234" s="187"/>
      <c r="C1234" s="186"/>
    </row>
    <row r="1235" spans="2:3" x14ac:dyDescent="0.3">
      <c r="B1235" s="187"/>
      <c r="C1235" s="186"/>
    </row>
    <row r="1236" spans="2:3" x14ac:dyDescent="0.3">
      <c r="B1236" s="187"/>
      <c r="C1236" s="186"/>
    </row>
    <row r="1237" spans="2:3" x14ac:dyDescent="0.3">
      <c r="B1237" s="187"/>
      <c r="C1237" s="186"/>
    </row>
    <row r="1238" spans="2:3" x14ac:dyDescent="0.3">
      <c r="B1238" s="187"/>
      <c r="C1238" s="186"/>
    </row>
    <row r="1239" spans="2:3" x14ac:dyDescent="0.3">
      <c r="B1239" s="187"/>
      <c r="C1239" s="186"/>
    </row>
    <row r="1240" spans="2:3" x14ac:dyDescent="0.3">
      <c r="B1240" s="187"/>
      <c r="C1240" s="186"/>
    </row>
    <row r="1241" spans="2:3" x14ac:dyDescent="0.3">
      <c r="B1241" s="187"/>
      <c r="C1241" s="186"/>
    </row>
    <row r="1242" spans="2:3" x14ac:dyDescent="0.3">
      <c r="B1242" s="187"/>
      <c r="C1242" s="186"/>
    </row>
    <row r="1243" spans="2:3" x14ac:dyDescent="0.3">
      <c r="B1243" s="187"/>
      <c r="C1243" s="186"/>
    </row>
    <row r="1244" spans="2:3" x14ac:dyDescent="0.3">
      <c r="B1244" s="187"/>
      <c r="C1244" s="186"/>
    </row>
    <row r="1245" spans="2:3" x14ac:dyDescent="0.3">
      <c r="B1245" s="187"/>
      <c r="C1245" s="186"/>
    </row>
    <row r="1246" spans="2:3" x14ac:dyDescent="0.3">
      <c r="B1246" s="187"/>
      <c r="C1246" s="186"/>
    </row>
    <row r="1247" spans="2:3" x14ac:dyDescent="0.3">
      <c r="B1247" s="187"/>
      <c r="C1247" s="186"/>
    </row>
    <row r="1248" spans="2:3" x14ac:dyDescent="0.3">
      <c r="B1248" s="187"/>
      <c r="C1248" s="186"/>
    </row>
    <row r="1249" spans="2:3" x14ac:dyDescent="0.3">
      <c r="B1249" s="187"/>
      <c r="C1249" s="186"/>
    </row>
    <row r="1250" spans="2:3" x14ac:dyDescent="0.3">
      <c r="B1250" s="187"/>
      <c r="C1250" s="186"/>
    </row>
    <row r="1251" spans="2:3" x14ac:dyDescent="0.3">
      <c r="B1251" s="187"/>
      <c r="C1251" s="186"/>
    </row>
    <row r="1252" spans="2:3" x14ac:dyDescent="0.3">
      <c r="B1252" s="187"/>
      <c r="C1252" s="186"/>
    </row>
    <row r="1253" spans="2:3" x14ac:dyDescent="0.3">
      <c r="B1253" s="187"/>
      <c r="C1253" s="186"/>
    </row>
    <row r="1254" spans="2:3" x14ac:dyDescent="0.3">
      <c r="B1254" s="187"/>
      <c r="C1254" s="186"/>
    </row>
    <row r="1255" spans="2:3" x14ac:dyDescent="0.3">
      <c r="B1255" s="187"/>
      <c r="C1255" s="186"/>
    </row>
    <row r="1256" spans="2:3" x14ac:dyDescent="0.3">
      <c r="B1256" s="187"/>
      <c r="C1256" s="186"/>
    </row>
    <row r="1257" spans="2:3" x14ac:dyDescent="0.3">
      <c r="B1257" s="187"/>
      <c r="C1257" s="186"/>
    </row>
    <row r="1258" spans="2:3" x14ac:dyDescent="0.3">
      <c r="B1258" s="187"/>
      <c r="C1258" s="186"/>
    </row>
    <row r="1259" spans="2:3" x14ac:dyDescent="0.3">
      <c r="B1259" s="187"/>
      <c r="C1259" s="186"/>
    </row>
    <row r="1260" spans="2:3" x14ac:dyDescent="0.3">
      <c r="B1260" s="187"/>
      <c r="C1260" s="186"/>
    </row>
    <row r="1261" spans="2:3" x14ac:dyDescent="0.3">
      <c r="B1261" s="187"/>
      <c r="C1261" s="186"/>
    </row>
    <row r="1262" spans="2:3" x14ac:dyDescent="0.3">
      <c r="B1262" s="187"/>
      <c r="C1262" s="186"/>
    </row>
    <row r="1263" spans="2:3" x14ac:dyDescent="0.3">
      <c r="B1263" s="187"/>
      <c r="C1263" s="186"/>
    </row>
    <row r="1264" spans="2:3" x14ac:dyDescent="0.3">
      <c r="B1264" s="187"/>
      <c r="C1264" s="186"/>
    </row>
    <row r="1265" spans="2:3" x14ac:dyDescent="0.3">
      <c r="B1265" s="187"/>
      <c r="C1265" s="186"/>
    </row>
    <row r="1266" spans="2:3" x14ac:dyDescent="0.3">
      <c r="B1266" s="187"/>
      <c r="C1266" s="186"/>
    </row>
    <row r="1267" spans="2:3" x14ac:dyDescent="0.3">
      <c r="B1267" s="187"/>
      <c r="C1267" s="186"/>
    </row>
    <row r="1268" spans="2:3" x14ac:dyDescent="0.3">
      <c r="B1268" s="187"/>
      <c r="C1268" s="186"/>
    </row>
    <row r="1269" spans="2:3" x14ac:dyDescent="0.3">
      <c r="B1269" s="187"/>
      <c r="C1269" s="186"/>
    </row>
    <row r="1270" spans="2:3" x14ac:dyDescent="0.3">
      <c r="B1270" s="187"/>
      <c r="C1270" s="186"/>
    </row>
    <row r="1271" spans="2:3" x14ac:dyDescent="0.3">
      <c r="B1271" s="187"/>
      <c r="C1271" s="186"/>
    </row>
    <row r="1272" spans="2:3" x14ac:dyDescent="0.3">
      <c r="B1272" s="187"/>
      <c r="C1272" s="186"/>
    </row>
    <row r="1273" spans="2:3" x14ac:dyDescent="0.3">
      <c r="B1273" s="187"/>
      <c r="C1273" s="186"/>
    </row>
    <row r="1274" spans="2:3" x14ac:dyDescent="0.3">
      <c r="B1274" s="187"/>
      <c r="C1274" s="186"/>
    </row>
    <row r="1275" spans="2:3" x14ac:dyDescent="0.3">
      <c r="B1275" s="187"/>
      <c r="C1275" s="186"/>
    </row>
    <row r="1276" spans="2:3" x14ac:dyDescent="0.3">
      <c r="B1276" s="187"/>
      <c r="C1276" s="186"/>
    </row>
    <row r="1277" spans="2:3" x14ac:dyDescent="0.3">
      <c r="B1277" s="187"/>
      <c r="C1277" s="186"/>
    </row>
    <row r="1278" spans="2:3" x14ac:dyDescent="0.3">
      <c r="B1278" s="187"/>
      <c r="C1278" s="186"/>
    </row>
    <row r="1279" spans="2:3" x14ac:dyDescent="0.3">
      <c r="B1279" s="187"/>
      <c r="C1279" s="186"/>
    </row>
    <row r="1280" spans="2:3" x14ac:dyDescent="0.3">
      <c r="B1280" s="187"/>
      <c r="C1280" s="186"/>
    </row>
    <row r="1281" spans="2:3" x14ac:dyDescent="0.3">
      <c r="B1281" s="187"/>
      <c r="C1281" s="186"/>
    </row>
    <row r="1282" spans="2:3" x14ac:dyDescent="0.3">
      <c r="B1282" s="187"/>
      <c r="C1282" s="186"/>
    </row>
    <row r="1283" spans="2:3" x14ac:dyDescent="0.3">
      <c r="B1283" s="187"/>
      <c r="C1283" s="186"/>
    </row>
    <row r="1284" spans="2:3" x14ac:dyDescent="0.3">
      <c r="B1284" s="187"/>
      <c r="C1284" s="186"/>
    </row>
    <row r="1285" spans="2:3" x14ac:dyDescent="0.3">
      <c r="B1285" s="187"/>
      <c r="C1285" s="186"/>
    </row>
    <row r="1286" spans="2:3" x14ac:dyDescent="0.3">
      <c r="B1286" s="187"/>
      <c r="C1286" s="186"/>
    </row>
    <row r="1287" spans="2:3" x14ac:dyDescent="0.3">
      <c r="B1287" s="187"/>
      <c r="C1287" s="186"/>
    </row>
    <row r="1288" spans="2:3" x14ac:dyDescent="0.3">
      <c r="B1288" s="187"/>
      <c r="C1288" s="186"/>
    </row>
    <row r="1289" spans="2:3" x14ac:dyDescent="0.3">
      <c r="B1289" s="187"/>
      <c r="C1289" s="186"/>
    </row>
    <row r="1290" spans="2:3" x14ac:dyDescent="0.3">
      <c r="B1290" s="187"/>
      <c r="C1290" s="186"/>
    </row>
    <row r="1291" spans="2:3" x14ac:dyDescent="0.3">
      <c r="B1291" s="187"/>
      <c r="C1291" s="186"/>
    </row>
    <row r="1292" spans="2:3" x14ac:dyDescent="0.3">
      <c r="B1292" s="187"/>
      <c r="C1292" s="186"/>
    </row>
    <row r="1293" spans="2:3" x14ac:dyDescent="0.3">
      <c r="B1293" s="187"/>
      <c r="C1293" s="186"/>
    </row>
    <row r="1294" spans="2:3" x14ac:dyDescent="0.3">
      <c r="B1294" s="187"/>
      <c r="C1294" s="186"/>
    </row>
    <row r="1295" spans="2:3" x14ac:dyDescent="0.3">
      <c r="B1295" s="187"/>
      <c r="C1295" s="186"/>
    </row>
    <row r="1296" spans="2:3" x14ac:dyDescent="0.3">
      <c r="B1296" s="187"/>
      <c r="C1296" s="186"/>
    </row>
    <row r="1297" spans="2:3" x14ac:dyDescent="0.3">
      <c r="B1297" s="187"/>
      <c r="C1297" s="186"/>
    </row>
    <row r="1298" spans="2:3" x14ac:dyDescent="0.3">
      <c r="B1298" s="187"/>
      <c r="C1298" s="186"/>
    </row>
    <row r="1299" spans="2:3" x14ac:dyDescent="0.3">
      <c r="B1299" s="187"/>
      <c r="C1299" s="186"/>
    </row>
    <row r="1300" spans="2:3" x14ac:dyDescent="0.3">
      <c r="B1300" s="187"/>
      <c r="C1300" s="186"/>
    </row>
    <row r="1301" spans="2:3" x14ac:dyDescent="0.3">
      <c r="B1301" s="187"/>
      <c r="C1301" s="186"/>
    </row>
    <row r="1302" spans="2:3" x14ac:dyDescent="0.3">
      <c r="B1302" s="187"/>
      <c r="C1302" s="186"/>
    </row>
    <row r="1303" spans="2:3" x14ac:dyDescent="0.3">
      <c r="B1303" s="187"/>
      <c r="C1303" s="186"/>
    </row>
    <row r="1304" spans="2:3" x14ac:dyDescent="0.3">
      <c r="B1304" s="187"/>
      <c r="C1304" s="186"/>
    </row>
    <row r="1305" spans="2:3" x14ac:dyDescent="0.3">
      <c r="B1305" s="187"/>
      <c r="C1305" s="186"/>
    </row>
    <row r="1306" spans="2:3" x14ac:dyDescent="0.3">
      <c r="B1306" s="187"/>
      <c r="C1306" s="186"/>
    </row>
    <row r="1307" spans="2:3" x14ac:dyDescent="0.3">
      <c r="B1307" s="187"/>
      <c r="C1307" s="186"/>
    </row>
    <row r="1308" spans="2:3" x14ac:dyDescent="0.3">
      <c r="B1308" s="187"/>
      <c r="C1308" s="186"/>
    </row>
    <row r="1309" spans="2:3" x14ac:dyDescent="0.3">
      <c r="B1309" s="187"/>
      <c r="C1309" s="186"/>
    </row>
    <row r="1310" spans="2:3" x14ac:dyDescent="0.3">
      <c r="B1310" s="187"/>
      <c r="C1310" s="186"/>
    </row>
    <row r="1311" spans="2:3" x14ac:dyDescent="0.3">
      <c r="B1311" s="187"/>
      <c r="C1311" s="186"/>
    </row>
    <row r="1312" spans="2:3" x14ac:dyDescent="0.3">
      <c r="B1312" s="187"/>
      <c r="C1312" s="186"/>
    </row>
    <row r="1313" spans="2:3" x14ac:dyDescent="0.3">
      <c r="B1313" s="187"/>
      <c r="C1313" s="186"/>
    </row>
    <row r="1314" spans="2:3" x14ac:dyDescent="0.3">
      <c r="B1314" s="187"/>
      <c r="C1314" s="186"/>
    </row>
    <row r="1315" spans="2:3" x14ac:dyDescent="0.3">
      <c r="B1315" s="187"/>
      <c r="C1315" s="186"/>
    </row>
    <row r="1316" spans="2:3" x14ac:dyDescent="0.3">
      <c r="B1316" s="187"/>
      <c r="C1316" s="186"/>
    </row>
    <row r="1317" spans="2:3" x14ac:dyDescent="0.3">
      <c r="B1317" s="187"/>
      <c r="C1317" s="186"/>
    </row>
    <row r="1318" spans="2:3" x14ac:dyDescent="0.3">
      <c r="B1318" s="187"/>
      <c r="C1318" s="186"/>
    </row>
    <row r="1319" spans="2:3" x14ac:dyDescent="0.3">
      <c r="B1319" s="187"/>
      <c r="C1319" s="186"/>
    </row>
    <row r="1320" spans="2:3" x14ac:dyDescent="0.3">
      <c r="B1320" s="187"/>
      <c r="C1320" s="186"/>
    </row>
    <row r="1321" spans="2:3" x14ac:dyDescent="0.3">
      <c r="B1321" s="187"/>
      <c r="C1321" s="186"/>
    </row>
    <row r="1322" spans="2:3" x14ac:dyDescent="0.3">
      <c r="B1322" s="187"/>
      <c r="C1322" s="186"/>
    </row>
    <row r="1323" spans="2:3" x14ac:dyDescent="0.3">
      <c r="B1323" s="187"/>
      <c r="C1323" s="186"/>
    </row>
    <row r="1324" spans="2:3" x14ac:dyDescent="0.3">
      <c r="B1324" s="187"/>
      <c r="C1324" s="186"/>
    </row>
    <row r="1325" spans="2:3" x14ac:dyDescent="0.3">
      <c r="B1325" s="187"/>
      <c r="C1325" s="186"/>
    </row>
    <row r="1326" spans="2:3" x14ac:dyDescent="0.3">
      <c r="B1326" s="187"/>
      <c r="C1326" s="186"/>
    </row>
    <row r="1327" spans="2:3" x14ac:dyDescent="0.3">
      <c r="B1327" s="187"/>
      <c r="C1327" s="186"/>
    </row>
    <row r="1328" spans="2:3" x14ac:dyDescent="0.3">
      <c r="B1328" s="187"/>
      <c r="C1328" s="186"/>
    </row>
    <row r="1329" spans="2:3" x14ac:dyDescent="0.3">
      <c r="B1329" s="187"/>
      <c r="C1329" s="186"/>
    </row>
    <row r="1330" spans="2:3" x14ac:dyDescent="0.3">
      <c r="B1330" s="187"/>
      <c r="C1330" s="186"/>
    </row>
    <row r="1331" spans="2:3" x14ac:dyDescent="0.3">
      <c r="B1331" s="187"/>
      <c r="C1331" s="186"/>
    </row>
    <row r="1332" spans="2:3" x14ac:dyDescent="0.3">
      <c r="B1332" s="187"/>
      <c r="C1332" s="186"/>
    </row>
    <row r="1333" spans="2:3" x14ac:dyDescent="0.3">
      <c r="B1333" s="187"/>
      <c r="C1333" s="186"/>
    </row>
    <row r="1334" spans="2:3" x14ac:dyDescent="0.3">
      <c r="B1334" s="187"/>
      <c r="C1334" s="186"/>
    </row>
    <row r="1335" spans="2:3" x14ac:dyDescent="0.3">
      <c r="B1335" s="187"/>
      <c r="C1335" s="186"/>
    </row>
    <row r="1336" spans="2:3" x14ac:dyDescent="0.3">
      <c r="B1336" s="187"/>
      <c r="C1336" s="186"/>
    </row>
    <row r="1337" spans="2:3" x14ac:dyDescent="0.3">
      <c r="B1337" s="187"/>
      <c r="C1337" s="186"/>
    </row>
    <row r="1338" spans="2:3" x14ac:dyDescent="0.3">
      <c r="B1338" s="187"/>
      <c r="C1338" s="186"/>
    </row>
    <row r="1339" spans="2:3" x14ac:dyDescent="0.3">
      <c r="B1339" s="187"/>
      <c r="C1339" s="186"/>
    </row>
    <row r="1340" spans="2:3" x14ac:dyDescent="0.3">
      <c r="B1340" s="187"/>
      <c r="C1340" s="186"/>
    </row>
    <row r="1341" spans="2:3" x14ac:dyDescent="0.3">
      <c r="B1341" s="187"/>
      <c r="C1341" s="186"/>
    </row>
    <row r="1342" spans="2:3" x14ac:dyDescent="0.3">
      <c r="B1342" s="187"/>
      <c r="C1342" s="186"/>
    </row>
    <row r="1343" spans="2:3" x14ac:dyDescent="0.3">
      <c r="B1343" s="187"/>
      <c r="C1343" s="186"/>
    </row>
    <row r="1344" spans="2:3" x14ac:dyDescent="0.3">
      <c r="B1344" s="187"/>
      <c r="C1344" s="186"/>
    </row>
    <row r="1345" spans="2:3" x14ac:dyDescent="0.3">
      <c r="B1345" s="187"/>
      <c r="C1345" s="186"/>
    </row>
    <row r="1346" spans="2:3" x14ac:dyDescent="0.3">
      <c r="B1346" s="187"/>
      <c r="C1346" s="186"/>
    </row>
    <row r="1347" spans="2:3" x14ac:dyDescent="0.3">
      <c r="B1347" s="187"/>
      <c r="C1347" s="186"/>
    </row>
    <row r="1348" spans="2:3" x14ac:dyDescent="0.3">
      <c r="B1348" s="187"/>
      <c r="C1348" s="186"/>
    </row>
    <row r="1349" spans="2:3" x14ac:dyDescent="0.3">
      <c r="B1349" s="187"/>
      <c r="C1349" s="186"/>
    </row>
    <row r="1350" spans="2:3" x14ac:dyDescent="0.3">
      <c r="B1350" s="187"/>
      <c r="C1350" s="186"/>
    </row>
    <row r="1351" spans="2:3" x14ac:dyDescent="0.3">
      <c r="B1351" s="187"/>
      <c r="C1351" s="186"/>
    </row>
    <row r="1352" spans="2:3" x14ac:dyDescent="0.3">
      <c r="B1352" s="187"/>
      <c r="C1352" s="186"/>
    </row>
    <row r="1353" spans="2:3" x14ac:dyDescent="0.3">
      <c r="B1353" s="187"/>
      <c r="C1353" s="186"/>
    </row>
    <row r="1354" spans="2:3" x14ac:dyDescent="0.3">
      <c r="B1354" s="187"/>
      <c r="C1354" s="186"/>
    </row>
    <row r="1355" spans="2:3" x14ac:dyDescent="0.3">
      <c r="B1355" s="187"/>
      <c r="C1355" s="186"/>
    </row>
    <row r="1356" spans="2:3" x14ac:dyDescent="0.3">
      <c r="B1356" s="187"/>
      <c r="C1356" s="186"/>
    </row>
    <row r="1357" spans="2:3" x14ac:dyDescent="0.3">
      <c r="B1357" s="187"/>
      <c r="C1357" s="186"/>
    </row>
    <row r="1358" spans="2:3" x14ac:dyDescent="0.3">
      <c r="B1358" s="187"/>
      <c r="C1358" s="186"/>
    </row>
    <row r="1359" spans="2:3" x14ac:dyDescent="0.3">
      <c r="B1359" s="187"/>
      <c r="C1359" s="186"/>
    </row>
    <row r="1360" spans="2:3" x14ac:dyDescent="0.3">
      <c r="B1360" s="187"/>
      <c r="C1360" s="186"/>
    </row>
    <row r="1361" spans="2:3" x14ac:dyDescent="0.3">
      <c r="B1361" s="187"/>
      <c r="C1361" s="186"/>
    </row>
    <row r="1362" spans="2:3" x14ac:dyDescent="0.3">
      <c r="B1362" s="187"/>
      <c r="C1362" s="186"/>
    </row>
    <row r="1363" spans="2:3" x14ac:dyDescent="0.3">
      <c r="B1363" s="187"/>
      <c r="C1363" s="186"/>
    </row>
    <row r="1364" spans="2:3" x14ac:dyDescent="0.3">
      <c r="B1364" s="187"/>
      <c r="C1364" s="186"/>
    </row>
    <row r="1365" spans="2:3" x14ac:dyDescent="0.3">
      <c r="B1365" s="187"/>
      <c r="C1365" s="186"/>
    </row>
    <row r="1366" spans="2:3" x14ac:dyDescent="0.3">
      <c r="B1366" s="187"/>
      <c r="C1366" s="186"/>
    </row>
    <row r="1367" spans="2:3" x14ac:dyDescent="0.3">
      <c r="B1367" s="187"/>
      <c r="C1367" s="186"/>
    </row>
    <row r="1368" spans="2:3" x14ac:dyDescent="0.3">
      <c r="B1368" s="187"/>
      <c r="C1368" s="186"/>
    </row>
    <row r="1369" spans="2:3" x14ac:dyDescent="0.3">
      <c r="B1369" s="187"/>
      <c r="C1369" s="186"/>
    </row>
    <row r="1370" spans="2:3" x14ac:dyDescent="0.3">
      <c r="B1370" s="187"/>
      <c r="C1370" s="186"/>
    </row>
    <row r="1371" spans="2:3" x14ac:dyDescent="0.3">
      <c r="B1371" s="187"/>
      <c r="C1371" s="186"/>
    </row>
    <row r="1372" spans="2:3" x14ac:dyDescent="0.3">
      <c r="B1372" s="187"/>
      <c r="C1372" s="186"/>
    </row>
    <row r="1373" spans="2:3" x14ac:dyDescent="0.3">
      <c r="B1373" s="187"/>
      <c r="C1373" s="186"/>
    </row>
    <row r="1374" spans="2:3" x14ac:dyDescent="0.3">
      <c r="B1374" s="187"/>
      <c r="C1374" s="186"/>
    </row>
    <row r="1375" spans="2:3" x14ac:dyDescent="0.3">
      <c r="B1375" s="187"/>
      <c r="C1375" s="186"/>
    </row>
    <row r="1376" spans="2:3" x14ac:dyDescent="0.3">
      <c r="B1376" s="187"/>
      <c r="C1376" s="186"/>
    </row>
    <row r="1377" spans="2:3" x14ac:dyDescent="0.3">
      <c r="B1377" s="187"/>
      <c r="C1377" s="186"/>
    </row>
    <row r="1378" spans="2:3" x14ac:dyDescent="0.3">
      <c r="B1378" s="187"/>
      <c r="C1378" s="186"/>
    </row>
    <row r="1379" spans="2:3" x14ac:dyDescent="0.3">
      <c r="B1379" s="187"/>
      <c r="C1379" s="186"/>
    </row>
    <row r="1380" spans="2:3" x14ac:dyDescent="0.3">
      <c r="B1380" s="187"/>
      <c r="C1380" s="186"/>
    </row>
    <row r="1381" spans="2:3" x14ac:dyDescent="0.3">
      <c r="B1381" s="187"/>
      <c r="C1381" s="186"/>
    </row>
    <row r="1382" spans="2:3" x14ac:dyDescent="0.3">
      <c r="B1382" s="187"/>
      <c r="C1382" s="186"/>
    </row>
    <row r="1383" spans="2:3" x14ac:dyDescent="0.3">
      <c r="B1383" s="187"/>
      <c r="C1383" s="186"/>
    </row>
    <row r="1384" spans="2:3" x14ac:dyDescent="0.3">
      <c r="B1384" s="187"/>
      <c r="C1384" s="186"/>
    </row>
    <row r="1385" spans="2:3" x14ac:dyDescent="0.3">
      <c r="B1385" s="187"/>
      <c r="C1385" s="186"/>
    </row>
    <row r="1386" spans="2:3" x14ac:dyDescent="0.3">
      <c r="B1386" s="187"/>
      <c r="C1386" s="186"/>
    </row>
    <row r="1387" spans="2:3" x14ac:dyDescent="0.3">
      <c r="B1387" s="187"/>
      <c r="C1387" s="186"/>
    </row>
    <row r="1388" spans="2:3" x14ac:dyDescent="0.3">
      <c r="B1388" s="187"/>
      <c r="C1388" s="186"/>
    </row>
    <row r="1389" spans="2:3" x14ac:dyDescent="0.3">
      <c r="B1389" s="187"/>
      <c r="C1389" s="186"/>
    </row>
    <row r="1390" spans="2:3" x14ac:dyDescent="0.3">
      <c r="B1390" s="187"/>
      <c r="C1390" s="186"/>
    </row>
    <row r="1391" spans="2:3" x14ac:dyDescent="0.3">
      <c r="B1391" s="187"/>
      <c r="C1391" s="186"/>
    </row>
    <row r="1392" spans="2:3" x14ac:dyDescent="0.3">
      <c r="B1392" s="187"/>
      <c r="C1392" s="186"/>
    </row>
    <row r="1393" spans="2:3" x14ac:dyDescent="0.3">
      <c r="B1393" s="187"/>
      <c r="C1393" s="186"/>
    </row>
    <row r="1394" spans="2:3" x14ac:dyDescent="0.3">
      <c r="B1394" s="187"/>
      <c r="C1394" s="186"/>
    </row>
    <row r="1395" spans="2:3" x14ac:dyDescent="0.3">
      <c r="B1395" s="187"/>
      <c r="C1395" s="186"/>
    </row>
    <row r="1396" spans="2:3" x14ac:dyDescent="0.3">
      <c r="B1396" s="187"/>
      <c r="C1396" s="186"/>
    </row>
    <row r="1397" spans="2:3" x14ac:dyDescent="0.3">
      <c r="B1397" s="187"/>
      <c r="C1397" s="186"/>
    </row>
    <row r="1398" spans="2:3" x14ac:dyDescent="0.3">
      <c r="B1398" s="187"/>
      <c r="C1398" s="186"/>
    </row>
    <row r="1399" spans="2:3" x14ac:dyDescent="0.3">
      <c r="B1399" s="187"/>
      <c r="C1399" s="186"/>
    </row>
    <row r="1400" spans="2:3" x14ac:dyDescent="0.3">
      <c r="B1400" s="187"/>
      <c r="C1400" s="186"/>
    </row>
    <row r="1401" spans="2:3" x14ac:dyDescent="0.3">
      <c r="B1401" s="187"/>
      <c r="C1401" s="186"/>
    </row>
    <row r="1402" spans="2:3" x14ac:dyDescent="0.3">
      <c r="B1402" s="187"/>
      <c r="C1402" s="186"/>
    </row>
    <row r="1403" spans="2:3" x14ac:dyDescent="0.3">
      <c r="B1403" s="187"/>
      <c r="C1403" s="186"/>
    </row>
    <row r="1404" spans="2:3" x14ac:dyDescent="0.3">
      <c r="B1404" s="187"/>
      <c r="C1404" s="186"/>
    </row>
    <row r="1405" spans="2:3" x14ac:dyDescent="0.3">
      <c r="B1405" s="187"/>
      <c r="C1405" s="186"/>
    </row>
    <row r="1406" spans="2:3" x14ac:dyDescent="0.3">
      <c r="B1406" s="187"/>
      <c r="C1406" s="186"/>
    </row>
    <row r="1407" spans="2:3" x14ac:dyDescent="0.3">
      <c r="B1407" s="187"/>
      <c r="C1407" s="186"/>
    </row>
    <row r="1408" spans="2:3" x14ac:dyDescent="0.3">
      <c r="B1408" s="187"/>
      <c r="C1408" s="186"/>
    </row>
    <row r="1409" spans="2:3" x14ac:dyDescent="0.3">
      <c r="B1409" s="187"/>
      <c r="C1409" s="186"/>
    </row>
    <row r="1410" spans="2:3" x14ac:dyDescent="0.3">
      <c r="B1410" s="187"/>
      <c r="C1410" s="186"/>
    </row>
    <row r="1411" spans="2:3" x14ac:dyDescent="0.3">
      <c r="B1411" s="187"/>
      <c r="C1411" s="186"/>
    </row>
    <row r="1412" spans="2:3" x14ac:dyDescent="0.3">
      <c r="B1412" s="187"/>
      <c r="C1412" s="186"/>
    </row>
    <row r="1413" spans="2:3" x14ac:dyDescent="0.3">
      <c r="B1413" s="187"/>
      <c r="C1413" s="186"/>
    </row>
    <row r="1414" spans="2:3" x14ac:dyDescent="0.3">
      <c r="B1414" s="187"/>
      <c r="C1414" s="186"/>
    </row>
    <row r="1415" spans="2:3" x14ac:dyDescent="0.3">
      <c r="B1415" s="187"/>
      <c r="C1415" s="186"/>
    </row>
    <row r="1416" spans="2:3" x14ac:dyDescent="0.3">
      <c r="B1416" s="187"/>
      <c r="C1416" s="186"/>
    </row>
    <row r="1417" spans="2:3" x14ac:dyDescent="0.3">
      <c r="B1417" s="187"/>
      <c r="C1417" s="186"/>
    </row>
    <row r="1418" spans="2:3" x14ac:dyDescent="0.3">
      <c r="B1418" s="187"/>
      <c r="C1418" s="186"/>
    </row>
    <row r="1419" spans="2:3" x14ac:dyDescent="0.3">
      <c r="B1419" s="187"/>
      <c r="C1419" s="186"/>
    </row>
    <row r="1420" spans="2:3" x14ac:dyDescent="0.3">
      <c r="B1420" s="187"/>
      <c r="C1420" s="186"/>
    </row>
    <row r="1421" spans="2:3" x14ac:dyDescent="0.3">
      <c r="B1421" s="187"/>
      <c r="C1421" s="186"/>
    </row>
    <row r="1422" spans="2:3" x14ac:dyDescent="0.3">
      <c r="B1422" s="187"/>
      <c r="C1422" s="186"/>
    </row>
    <row r="1423" spans="2:3" x14ac:dyDescent="0.3">
      <c r="B1423" s="187"/>
      <c r="C1423" s="186"/>
    </row>
    <row r="1424" spans="2:3" x14ac:dyDescent="0.3">
      <c r="B1424" s="187"/>
      <c r="C1424" s="186"/>
    </row>
    <row r="1425" spans="2:3" x14ac:dyDescent="0.3">
      <c r="B1425" s="187"/>
      <c r="C1425" s="186"/>
    </row>
    <row r="1426" spans="2:3" x14ac:dyDescent="0.3">
      <c r="B1426" s="187"/>
      <c r="C1426" s="186"/>
    </row>
    <row r="1427" spans="2:3" x14ac:dyDescent="0.3">
      <c r="B1427" s="187"/>
      <c r="C1427" s="186"/>
    </row>
    <row r="1428" spans="2:3" x14ac:dyDescent="0.3">
      <c r="B1428" s="187"/>
      <c r="C1428" s="186"/>
    </row>
    <row r="1429" spans="2:3" x14ac:dyDescent="0.3">
      <c r="B1429" s="187"/>
      <c r="C1429" s="186"/>
    </row>
    <row r="1430" spans="2:3" x14ac:dyDescent="0.3">
      <c r="B1430" s="187"/>
      <c r="C1430" s="186"/>
    </row>
    <row r="1431" spans="2:3" x14ac:dyDescent="0.3">
      <c r="B1431" s="187"/>
      <c r="C1431" s="186"/>
    </row>
    <row r="1432" spans="2:3" x14ac:dyDescent="0.3">
      <c r="B1432" s="187"/>
      <c r="C1432" s="186"/>
    </row>
    <row r="1433" spans="2:3" x14ac:dyDescent="0.3">
      <c r="B1433" s="187"/>
      <c r="C1433" s="186"/>
    </row>
    <row r="1434" spans="2:3" x14ac:dyDescent="0.3">
      <c r="B1434" s="187"/>
      <c r="C1434" s="186"/>
    </row>
    <row r="1435" spans="2:3" x14ac:dyDescent="0.3">
      <c r="B1435" s="187"/>
      <c r="C1435" s="186"/>
    </row>
    <row r="1436" spans="2:3" x14ac:dyDescent="0.3">
      <c r="B1436" s="187"/>
      <c r="C1436" s="186"/>
    </row>
    <row r="1437" spans="2:3" x14ac:dyDescent="0.3">
      <c r="B1437" s="187"/>
      <c r="C1437" s="186"/>
    </row>
    <row r="1438" spans="2:3" x14ac:dyDescent="0.3">
      <c r="B1438" s="187"/>
      <c r="C1438" s="186"/>
    </row>
    <row r="1439" spans="2:3" x14ac:dyDescent="0.3">
      <c r="B1439" s="187"/>
      <c r="C1439" s="186"/>
    </row>
    <row r="1440" spans="2:3" x14ac:dyDescent="0.3">
      <c r="B1440" s="187"/>
      <c r="C1440" s="186"/>
    </row>
    <row r="1441" spans="2:3" x14ac:dyDescent="0.3">
      <c r="B1441" s="187"/>
      <c r="C1441" s="186"/>
    </row>
    <row r="1442" spans="2:3" x14ac:dyDescent="0.3">
      <c r="B1442" s="187"/>
      <c r="C1442" s="186"/>
    </row>
    <row r="1443" spans="2:3" x14ac:dyDescent="0.3">
      <c r="B1443" s="187"/>
      <c r="C1443" s="186"/>
    </row>
    <row r="1444" spans="2:3" x14ac:dyDescent="0.3">
      <c r="B1444" s="187"/>
      <c r="C1444" s="186"/>
    </row>
    <row r="1445" spans="2:3" x14ac:dyDescent="0.3">
      <c r="B1445" s="187"/>
      <c r="C1445" s="186"/>
    </row>
    <row r="1446" spans="2:3" x14ac:dyDescent="0.3">
      <c r="B1446" s="187"/>
      <c r="C1446" s="186"/>
    </row>
    <row r="1447" spans="2:3" x14ac:dyDescent="0.3">
      <c r="B1447" s="187"/>
      <c r="C1447" s="186"/>
    </row>
    <row r="1448" spans="2:3" x14ac:dyDescent="0.3">
      <c r="B1448" s="187"/>
      <c r="C1448" s="186"/>
    </row>
    <row r="1449" spans="2:3" x14ac:dyDescent="0.3">
      <c r="B1449" s="187"/>
      <c r="C1449" s="186"/>
    </row>
    <row r="1450" spans="2:3" x14ac:dyDescent="0.3">
      <c r="B1450" s="187"/>
      <c r="C1450" s="186"/>
    </row>
    <row r="1451" spans="2:3" x14ac:dyDescent="0.3">
      <c r="B1451" s="187"/>
      <c r="C1451" s="186"/>
    </row>
    <row r="1452" spans="2:3" x14ac:dyDescent="0.3">
      <c r="B1452" s="187"/>
      <c r="C1452" s="186"/>
    </row>
    <row r="1453" spans="2:3" x14ac:dyDescent="0.3">
      <c r="B1453" s="187"/>
      <c r="C1453" s="186"/>
    </row>
    <row r="1454" spans="2:3" x14ac:dyDescent="0.3">
      <c r="B1454" s="187"/>
      <c r="C1454" s="186"/>
    </row>
    <row r="1455" spans="2:3" x14ac:dyDescent="0.3">
      <c r="B1455" s="187"/>
      <c r="C1455" s="186"/>
    </row>
    <row r="1456" spans="2:3" x14ac:dyDescent="0.3">
      <c r="B1456" s="187"/>
      <c r="C1456" s="186"/>
    </row>
    <row r="1457" spans="2:3" x14ac:dyDescent="0.3">
      <c r="B1457" s="187"/>
      <c r="C1457" s="186"/>
    </row>
    <row r="1458" spans="2:3" x14ac:dyDescent="0.3">
      <c r="B1458" s="187"/>
      <c r="C1458" s="186"/>
    </row>
    <row r="1459" spans="2:3" x14ac:dyDescent="0.3">
      <c r="B1459" s="187"/>
      <c r="C1459" s="186"/>
    </row>
    <row r="1460" spans="2:3" x14ac:dyDescent="0.3">
      <c r="B1460" s="187"/>
      <c r="C1460" s="186"/>
    </row>
    <row r="1461" spans="2:3" x14ac:dyDescent="0.3">
      <c r="B1461" s="187"/>
      <c r="C1461" s="186"/>
    </row>
    <row r="1462" spans="2:3" x14ac:dyDescent="0.3">
      <c r="B1462" s="187"/>
      <c r="C1462" s="186"/>
    </row>
    <row r="1463" spans="2:3" x14ac:dyDescent="0.3">
      <c r="B1463" s="187"/>
      <c r="C1463" s="186"/>
    </row>
    <row r="1464" spans="2:3" x14ac:dyDescent="0.3">
      <c r="B1464" s="187"/>
      <c r="C1464" s="186"/>
    </row>
    <row r="1465" spans="2:3" x14ac:dyDescent="0.3">
      <c r="B1465" s="187"/>
      <c r="C1465" s="186"/>
    </row>
    <row r="1466" spans="2:3" x14ac:dyDescent="0.3">
      <c r="B1466" s="187"/>
      <c r="C1466" s="186"/>
    </row>
    <row r="1467" spans="2:3" x14ac:dyDescent="0.3">
      <c r="B1467" s="187"/>
      <c r="C1467" s="186"/>
    </row>
    <row r="1468" spans="2:3" x14ac:dyDescent="0.3">
      <c r="B1468" s="187"/>
      <c r="C1468" s="186"/>
    </row>
    <row r="1469" spans="2:3" x14ac:dyDescent="0.3">
      <c r="B1469" s="187"/>
      <c r="C1469" s="186"/>
    </row>
    <row r="1470" spans="2:3" x14ac:dyDescent="0.3">
      <c r="B1470" s="187"/>
      <c r="C1470" s="186"/>
    </row>
    <row r="1471" spans="2:3" x14ac:dyDescent="0.3">
      <c r="B1471" s="187"/>
      <c r="C1471" s="186"/>
    </row>
    <row r="1472" spans="2:3" x14ac:dyDescent="0.3">
      <c r="B1472" s="187"/>
      <c r="C1472" s="186"/>
    </row>
    <row r="1473" spans="2:3" x14ac:dyDescent="0.3">
      <c r="B1473" s="187"/>
      <c r="C1473" s="186"/>
    </row>
    <row r="1474" spans="2:3" x14ac:dyDescent="0.3">
      <c r="B1474" s="187"/>
      <c r="C1474" s="186"/>
    </row>
    <row r="1475" spans="2:3" x14ac:dyDescent="0.3">
      <c r="B1475" s="187"/>
      <c r="C1475" s="186"/>
    </row>
    <row r="1476" spans="2:3" x14ac:dyDescent="0.3">
      <c r="B1476" s="187"/>
      <c r="C1476" s="186"/>
    </row>
    <row r="1477" spans="2:3" x14ac:dyDescent="0.3">
      <c r="B1477" s="187"/>
      <c r="C1477" s="186"/>
    </row>
    <row r="1478" spans="2:3" x14ac:dyDescent="0.3">
      <c r="B1478" s="187"/>
      <c r="C1478" s="186"/>
    </row>
    <row r="1479" spans="2:3" x14ac:dyDescent="0.3">
      <c r="B1479" s="187"/>
      <c r="C1479" s="186"/>
    </row>
    <row r="1480" spans="2:3" x14ac:dyDescent="0.3">
      <c r="B1480" s="187"/>
      <c r="C1480" s="186"/>
    </row>
    <row r="1481" spans="2:3" x14ac:dyDescent="0.3">
      <c r="B1481" s="187"/>
      <c r="C1481" s="186"/>
    </row>
    <row r="1482" spans="2:3" x14ac:dyDescent="0.3">
      <c r="B1482" s="187"/>
      <c r="C1482" s="186"/>
    </row>
    <row r="1483" spans="2:3" x14ac:dyDescent="0.3">
      <c r="B1483" s="187"/>
      <c r="C1483" s="186"/>
    </row>
    <row r="1484" spans="2:3" x14ac:dyDescent="0.3">
      <c r="B1484" s="187"/>
      <c r="C1484" s="186"/>
    </row>
    <row r="1485" spans="2:3" x14ac:dyDescent="0.3">
      <c r="B1485" s="187"/>
      <c r="C1485" s="186"/>
    </row>
    <row r="1486" spans="2:3" x14ac:dyDescent="0.3">
      <c r="B1486" s="187"/>
      <c r="C1486" s="186"/>
    </row>
    <row r="1487" spans="2:3" x14ac:dyDescent="0.3">
      <c r="B1487" s="187"/>
      <c r="C1487" s="186"/>
    </row>
    <row r="1488" spans="2:3" x14ac:dyDescent="0.3">
      <c r="B1488" s="187"/>
      <c r="C1488" s="186"/>
    </row>
    <row r="1489" spans="2:3" x14ac:dyDescent="0.3">
      <c r="B1489" s="187"/>
      <c r="C1489" s="186"/>
    </row>
    <row r="1490" spans="2:3" x14ac:dyDescent="0.3">
      <c r="B1490" s="187"/>
      <c r="C1490" s="186"/>
    </row>
    <row r="1491" spans="2:3" x14ac:dyDescent="0.3">
      <c r="B1491" s="187"/>
      <c r="C1491" s="186"/>
    </row>
    <row r="1492" spans="2:3" x14ac:dyDescent="0.3">
      <c r="B1492" s="187"/>
      <c r="C1492" s="186"/>
    </row>
    <row r="1493" spans="2:3" x14ac:dyDescent="0.3">
      <c r="B1493" s="187"/>
      <c r="C1493" s="186"/>
    </row>
    <row r="1494" spans="2:3" x14ac:dyDescent="0.3">
      <c r="B1494" s="187"/>
      <c r="C1494" s="186"/>
    </row>
    <row r="1495" spans="2:3" x14ac:dyDescent="0.3">
      <c r="B1495" s="187"/>
      <c r="C1495" s="186"/>
    </row>
    <row r="1496" spans="2:3" x14ac:dyDescent="0.3">
      <c r="B1496" s="187"/>
      <c r="C1496" s="186"/>
    </row>
    <row r="1497" spans="2:3" x14ac:dyDescent="0.3">
      <c r="B1497" s="187"/>
      <c r="C1497" s="186"/>
    </row>
    <row r="1498" spans="2:3" x14ac:dyDescent="0.3">
      <c r="B1498" s="187"/>
      <c r="C1498" s="186"/>
    </row>
    <row r="1499" spans="2:3" x14ac:dyDescent="0.3">
      <c r="B1499" s="187"/>
      <c r="C1499" s="186"/>
    </row>
    <row r="1500" spans="2:3" x14ac:dyDescent="0.3">
      <c r="B1500" s="187"/>
      <c r="C1500" s="186"/>
    </row>
    <row r="1501" spans="2:3" x14ac:dyDescent="0.3">
      <c r="B1501" s="187"/>
      <c r="C1501" s="186"/>
    </row>
    <row r="1502" spans="2:3" x14ac:dyDescent="0.3">
      <c r="B1502" s="187"/>
      <c r="C1502" s="186"/>
    </row>
    <row r="1503" spans="2:3" x14ac:dyDescent="0.3">
      <c r="B1503" s="187"/>
      <c r="C1503" s="186"/>
    </row>
    <row r="1504" spans="2:3" x14ac:dyDescent="0.3">
      <c r="B1504" s="187"/>
      <c r="C1504" s="186"/>
    </row>
    <row r="1505" spans="2:3" x14ac:dyDescent="0.3">
      <c r="B1505" s="187"/>
      <c r="C1505" s="186"/>
    </row>
    <row r="1506" spans="2:3" x14ac:dyDescent="0.3">
      <c r="B1506" s="187"/>
      <c r="C1506" s="186"/>
    </row>
    <row r="1507" spans="2:3" x14ac:dyDescent="0.3">
      <c r="B1507" s="187"/>
      <c r="C1507" s="186"/>
    </row>
    <row r="1508" spans="2:3" x14ac:dyDescent="0.3">
      <c r="B1508" s="187"/>
      <c r="C1508" s="186"/>
    </row>
    <row r="1509" spans="2:3" x14ac:dyDescent="0.3">
      <c r="B1509" s="187"/>
      <c r="C1509" s="186"/>
    </row>
    <row r="1510" spans="2:3" x14ac:dyDescent="0.3">
      <c r="B1510" s="187"/>
      <c r="C1510" s="186"/>
    </row>
    <row r="1511" spans="2:3" x14ac:dyDescent="0.3">
      <c r="B1511" s="187"/>
      <c r="C1511" s="186"/>
    </row>
    <row r="1512" spans="2:3" x14ac:dyDescent="0.3">
      <c r="B1512" s="187"/>
      <c r="C1512" s="186"/>
    </row>
    <row r="1513" spans="2:3" x14ac:dyDescent="0.3">
      <c r="B1513" s="187"/>
      <c r="C1513" s="186"/>
    </row>
    <row r="1514" spans="2:3" x14ac:dyDescent="0.3">
      <c r="B1514" s="187"/>
      <c r="C1514" s="186"/>
    </row>
    <row r="1515" spans="2:3" x14ac:dyDescent="0.3">
      <c r="B1515" s="187"/>
      <c r="C1515" s="186"/>
    </row>
    <row r="1516" spans="2:3" x14ac:dyDescent="0.3">
      <c r="B1516" s="187"/>
      <c r="C1516" s="186"/>
    </row>
    <row r="1517" spans="2:3" x14ac:dyDescent="0.3">
      <c r="B1517" s="187"/>
      <c r="C1517" s="186"/>
    </row>
    <row r="1518" spans="2:3" x14ac:dyDescent="0.3">
      <c r="B1518" s="187"/>
      <c r="C1518" s="186"/>
    </row>
    <row r="1519" spans="2:3" x14ac:dyDescent="0.3">
      <c r="B1519" s="187"/>
      <c r="C1519" s="186"/>
    </row>
    <row r="1520" spans="2:3" x14ac:dyDescent="0.3">
      <c r="B1520" s="187"/>
      <c r="C1520" s="186"/>
    </row>
    <row r="1521" spans="2:3" x14ac:dyDescent="0.3">
      <c r="B1521" s="187"/>
      <c r="C1521" s="186"/>
    </row>
    <row r="1522" spans="2:3" x14ac:dyDescent="0.3">
      <c r="B1522" s="187"/>
      <c r="C1522" s="186"/>
    </row>
    <row r="1523" spans="2:3" x14ac:dyDescent="0.3">
      <c r="B1523" s="187"/>
      <c r="C1523" s="186"/>
    </row>
    <row r="1524" spans="2:3" x14ac:dyDescent="0.3">
      <c r="B1524" s="187"/>
      <c r="C1524" s="186"/>
    </row>
    <row r="1525" spans="2:3" x14ac:dyDescent="0.3">
      <c r="B1525" s="187"/>
      <c r="C1525" s="186"/>
    </row>
    <row r="1526" spans="2:3" x14ac:dyDescent="0.3">
      <c r="B1526" s="187"/>
      <c r="C1526" s="186"/>
    </row>
    <row r="1527" spans="2:3" x14ac:dyDescent="0.3">
      <c r="B1527" s="187"/>
      <c r="C1527" s="186"/>
    </row>
    <row r="1528" spans="2:3" x14ac:dyDescent="0.3">
      <c r="B1528" s="187"/>
      <c r="C1528" s="186"/>
    </row>
    <row r="1529" spans="2:3" x14ac:dyDescent="0.3">
      <c r="B1529" s="187"/>
      <c r="C1529" s="186"/>
    </row>
    <row r="1530" spans="2:3" x14ac:dyDescent="0.3">
      <c r="B1530" s="187"/>
      <c r="C1530" s="186"/>
    </row>
    <row r="1531" spans="2:3" x14ac:dyDescent="0.3">
      <c r="B1531" s="187"/>
      <c r="C1531" s="186"/>
    </row>
    <row r="1532" spans="2:3" x14ac:dyDescent="0.3">
      <c r="B1532" s="187"/>
      <c r="C1532" s="186"/>
    </row>
    <row r="1533" spans="2:3" x14ac:dyDescent="0.3">
      <c r="B1533" s="187"/>
      <c r="C1533" s="186"/>
    </row>
    <row r="1534" spans="2:3" x14ac:dyDescent="0.3">
      <c r="B1534" s="187"/>
      <c r="C1534" s="186"/>
    </row>
    <row r="1535" spans="2:3" x14ac:dyDescent="0.3">
      <c r="B1535" s="187"/>
      <c r="C1535" s="186"/>
    </row>
    <row r="1536" spans="2:3" x14ac:dyDescent="0.3">
      <c r="B1536" s="187"/>
      <c r="C1536" s="186"/>
    </row>
    <row r="1537" spans="2:3" x14ac:dyDescent="0.3">
      <c r="B1537" s="187"/>
      <c r="C1537" s="186"/>
    </row>
    <row r="1538" spans="2:3" x14ac:dyDescent="0.3">
      <c r="B1538" s="187"/>
      <c r="C1538" s="186"/>
    </row>
    <row r="1539" spans="2:3" x14ac:dyDescent="0.3">
      <c r="B1539" s="187"/>
      <c r="C1539" s="186"/>
    </row>
    <row r="1540" spans="2:3" x14ac:dyDescent="0.3">
      <c r="B1540" s="187"/>
      <c r="C1540" s="186"/>
    </row>
    <row r="1541" spans="2:3" x14ac:dyDescent="0.3">
      <c r="B1541" s="187"/>
      <c r="C1541" s="186"/>
    </row>
    <row r="1542" spans="2:3" x14ac:dyDescent="0.3">
      <c r="B1542" s="187"/>
      <c r="C1542" s="186"/>
    </row>
    <row r="1543" spans="2:3" x14ac:dyDescent="0.3">
      <c r="B1543" s="187"/>
      <c r="C1543" s="186"/>
    </row>
    <row r="1544" spans="2:3" x14ac:dyDescent="0.3">
      <c r="B1544" s="187"/>
      <c r="C1544" s="186"/>
    </row>
    <row r="1545" spans="2:3" x14ac:dyDescent="0.3">
      <c r="B1545" s="187"/>
      <c r="C1545" s="186"/>
    </row>
    <row r="1546" spans="2:3" x14ac:dyDescent="0.3">
      <c r="B1546" s="187"/>
      <c r="C1546" s="186"/>
    </row>
    <row r="1547" spans="2:3" x14ac:dyDescent="0.3">
      <c r="B1547" s="187"/>
      <c r="C1547" s="186"/>
    </row>
    <row r="1548" spans="2:3" x14ac:dyDescent="0.3">
      <c r="B1548" s="187"/>
      <c r="C1548" s="186"/>
    </row>
    <row r="1549" spans="2:3" x14ac:dyDescent="0.3">
      <c r="B1549" s="187"/>
      <c r="C1549" s="186"/>
    </row>
    <row r="1550" spans="2:3" x14ac:dyDescent="0.3">
      <c r="B1550" s="187"/>
      <c r="C1550" s="186"/>
    </row>
    <row r="1551" spans="2:3" x14ac:dyDescent="0.3">
      <c r="B1551" s="187"/>
      <c r="C1551" s="186"/>
    </row>
    <row r="1552" spans="2:3" x14ac:dyDescent="0.3">
      <c r="B1552" s="187"/>
      <c r="C1552" s="186"/>
    </row>
    <row r="1553" spans="2:3" x14ac:dyDescent="0.3">
      <c r="B1553" s="187"/>
      <c r="C1553" s="186"/>
    </row>
    <row r="1554" spans="2:3" x14ac:dyDescent="0.3">
      <c r="B1554" s="187"/>
      <c r="C1554" s="186"/>
    </row>
    <row r="1555" spans="2:3" x14ac:dyDescent="0.3">
      <c r="B1555" s="187"/>
      <c r="C1555" s="186"/>
    </row>
    <row r="1556" spans="2:3" x14ac:dyDescent="0.3">
      <c r="B1556" s="187"/>
      <c r="C1556" s="186"/>
    </row>
    <row r="1557" spans="2:3" x14ac:dyDescent="0.3">
      <c r="B1557" s="187"/>
      <c r="C1557" s="186"/>
    </row>
    <row r="1558" spans="2:3" x14ac:dyDescent="0.3">
      <c r="B1558" s="187"/>
      <c r="C1558" s="186"/>
    </row>
    <row r="1559" spans="2:3" x14ac:dyDescent="0.3">
      <c r="B1559" s="187"/>
      <c r="C1559" s="186"/>
    </row>
    <row r="1560" spans="2:3" x14ac:dyDescent="0.3">
      <c r="B1560" s="187"/>
      <c r="C1560" s="186"/>
    </row>
    <row r="1561" spans="2:3" x14ac:dyDescent="0.3">
      <c r="B1561" s="187"/>
      <c r="C1561" s="186"/>
    </row>
    <row r="1562" spans="2:3" x14ac:dyDescent="0.3">
      <c r="B1562" s="187"/>
      <c r="C1562" s="186"/>
    </row>
    <row r="1563" spans="2:3" x14ac:dyDescent="0.3">
      <c r="B1563" s="187"/>
      <c r="C1563" s="186"/>
    </row>
    <row r="1564" spans="2:3" x14ac:dyDescent="0.3">
      <c r="B1564" s="187"/>
      <c r="C1564" s="186"/>
    </row>
    <row r="1565" spans="2:3" x14ac:dyDescent="0.3">
      <c r="B1565" s="187"/>
      <c r="C1565" s="186"/>
    </row>
    <row r="1566" spans="2:3" x14ac:dyDescent="0.3">
      <c r="B1566" s="187"/>
      <c r="C1566" s="186"/>
    </row>
    <row r="1567" spans="2:3" x14ac:dyDescent="0.3">
      <c r="B1567" s="187"/>
      <c r="C1567" s="186"/>
    </row>
    <row r="1568" spans="2:3" x14ac:dyDescent="0.3">
      <c r="B1568" s="187"/>
      <c r="C1568" s="186"/>
    </row>
    <row r="1569" spans="2:3" x14ac:dyDescent="0.3">
      <c r="B1569" s="187"/>
      <c r="C1569" s="186"/>
    </row>
    <row r="1570" spans="2:3" x14ac:dyDescent="0.3">
      <c r="B1570" s="187"/>
      <c r="C1570" s="186"/>
    </row>
    <row r="1571" spans="2:3" x14ac:dyDescent="0.3">
      <c r="B1571" s="187"/>
      <c r="C1571" s="186"/>
    </row>
    <row r="1572" spans="2:3" x14ac:dyDescent="0.3">
      <c r="B1572" s="187"/>
      <c r="C1572" s="186"/>
    </row>
    <row r="1573" spans="2:3" x14ac:dyDescent="0.3">
      <c r="B1573" s="187"/>
      <c r="C1573" s="186"/>
    </row>
    <row r="1574" spans="2:3" x14ac:dyDescent="0.3">
      <c r="B1574" s="187"/>
      <c r="C1574" s="186"/>
    </row>
    <row r="1575" spans="2:3" x14ac:dyDescent="0.3">
      <c r="B1575" s="187"/>
      <c r="C1575" s="186"/>
    </row>
    <row r="1576" spans="2:3" x14ac:dyDescent="0.3">
      <c r="B1576" s="187"/>
      <c r="C1576" s="186"/>
    </row>
    <row r="1577" spans="2:3" x14ac:dyDescent="0.3">
      <c r="B1577" s="187"/>
      <c r="C1577" s="186"/>
    </row>
    <row r="1578" spans="2:3" x14ac:dyDescent="0.3">
      <c r="B1578" s="187"/>
      <c r="C1578" s="186"/>
    </row>
    <row r="1579" spans="2:3" x14ac:dyDescent="0.3">
      <c r="B1579" s="187"/>
      <c r="C1579" s="186"/>
    </row>
    <row r="1580" spans="2:3" x14ac:dyDescent="0.3">
      <c r="B1580" s="187"/>
      <c r="C1580" s="186"/>
    </row>
    <row r="1581" spans="2:3" x14ac:dyDescent="0.3">
      <c r="B1581" s="187"/>
      <c r="C1581" s="186"/>
    </row>
    <row r="1582" spans="2:3" x14ac:dyDescent="0.3">
      <c r="B1582" s="187"/>
      <c r="C1582" s="186"/>
    </row>
    <row r="1583" spans="2:3" x14ac:dyDescent="0.3">
      <c r="B1583" s="187"/>
      <c r="C1583" s="186"/>
    </row>
    <row r="1584" spans="2:3" x14ac:dyDescent="0.3">
      <c r="B1584" s="187"/>
      <c r="C1584" s="186"/>
    </row>
    <row r="1585" spans="2:3" x14ac:dyDescent="0.3">
      <c r="B1585" s="187"/>
      <c r="C1585" s="186"/>
    </row>
    <row r="1586" spans="2:3" x14ac:dyDescent="0.3">
      <c r="B1586" s="187"/>
      <c r="C1586" s="186"/>
    </row>
    <row r="1587" spans="2:3" x14ac:dyDescent="0.3">
      <c r="B1587" s="187"/>
      <c r="C1587" s="186"/>
    </row>
    <row r="1588" spans="2:3" x14ac:dyDescent="0.3">
      <c r="B1588" s="187"/>
      <c r="C1588" s="186"/>
    </row>
    <row r="1589" spans="2:3" x14ac:dyDescent="0.3">
      <c r="B1589" s="187"/>
      <c r="C1589" s="186"/>
    </row>
    <row r="1590" spans="2:3" x14ac:dyDescent="0.3">
      <c r="B1590" s="187"/>
      <c r="C1590" s="186"/>
    </row>
    <row r="1591" spans="2:3" x14ac:dyDescent="0.3">
      <c r="B1591" s="187"/>
      <c r="C1591" s="186"/>
    </row>
    <row r="1592" spans="2:3" x14ac:dyDescent="0.3">
      <c r="B1592" s="187"/>
      <c r="C1592" s="186"/>
    </row>
    <row r="1593" spans="2:3" x14ac:dyDescent="0.3">
      <c r="B1593" s="187"/>
      <c r="C1593" s="186"/>
    </row>
    <row r="1594" spans="2:3" x14ac:dyDescent="0.3">
      <c r="B1594" s="187"/>
      <c r="C1594" s="186"/>
    </row>
    <row r="1595" spans="2:3" x14ac:dyDescent="0.3">
      <c r="B1595" s="187"/>
      <c r="C1595" s="186"/>
    </row>
    <row r="1596" spans="2:3" x14ac:dyDescent="0.3">
      <c r="B1596" s="187"/>
      <c r="C1596" s="186"/>
    </row>
    <row r="1597" spans="2:3" x14ac:dyDescent="0.3">
      <c r="B1597" s="187"/>
      <c r="C1597" s="186"/>
    </row>
    <row r="1598" spans="2:3" x14ac:dyDescent="0.3">
      <c r="B1598" s="187"/>
      <c r="C1598" s="186"/>
    </row>
    <row r="1599" spans="2:3" x14ac:dyDescent="0.3">
      <c r="B1599" s="187"/>
      <c r="C1599" s="186"/>
    </row>
    <row r="1600" spans="2:3" x14ac:dyDescent="0.3">
      <c r="B1600" s="187"/>
      <c r="C1600" s="186"/>
    </row>
    <row r="1601" spans="2:3" x14ac:dyDescent="0.3">
      <c r="B1601" s="187"/>
      <c r="C1601" s="186"/>
    </row>
    <row r="1602" spans="2:3" x14ac:dyDescent="0.3">
      <c r="B1602" s="187"/>
      <c r="C1602" s="186"/>
    </row>
    <row r="1603" spans="2:3" x14ac:dyDescent="0.3">
      <c r="B1603" s="187"/>
      <c r="C1603" s="186"/>
    </row>
    <row r="1604" spans="2:3" x14ac:dyDescent="0.3">
      <c r="B1604" s="187"/>
      <c r="C1604" s="186"/>
    </row>
    <row r="1605" spans="2:3" x14ac:dyDescent="0.3">
      <c r="B1605" s="187"/>
      <c r="C1605" s="186"/>
    </row>
    <row r="1606" spans="2:3" x14ac:dyDescent="0.3">
      <c r="B1606" s="187"/>
      <c r="C1606" s="186"/>
    </row>
    <row r="1607" spans="2:3" x14ac:dyDescent="0.3">
      <c r="B1607" s="187"/>
      <c r="C1607" s="186"/>
    </row>
    <row r="1608" spans="2:3" x14ac:dyDescent="0.3">
      <c r="B1608" s="187"/>
      <c r="C1608" s="186"/>
    </row>
    <row r="1609" spans="2:3" x14ac:dyDescent="0.3">
      <c r="B1609" s="187"/>
      <c r="C1609" s="186"/>
    </row>
    <row r="1610" spans="2:3" x14ac:dyDescent="0.3">
      <c r="B1610" s="187"/>
      <c r="C1610" s="186"/>
    </row>
    <row r="1611" spans="2:3" x14ac:dyDescent="0.3">
      <c r="B1611" s="187"/>
      <c r="C1611" s="186"/>
    </row>
    <row r="1612" spans="2:3" x14ac:dyDescent="0.3">
      <c r="B1612" s="187"/>
      <c r="C1612" s="186"/>
    </row>
    <row r="1613" spans="2:3" x14ac:dyDescent="0.3">
      <c r="B1613" s="187"/>
      <c r="C1613" s="186"/>
    </row>
    <row r="1614" spans="2:3" x14ac:dyDescent="0.3">
      <c r="B1614" s="187"/>
      <c r="C1614" s="186"/>
    </row>
    <row r="1615" spans="2:3" x14ac:dyDescent="0.3">
      <c r="B1615" s="187"/>
      <c r="C1615" s="186"/>
    </row>
    <row r="1616" spans="2:3" x14ac:dyDescent="0.3">
      <c r="B1616" s="187"/>
      <c r="C1616" s="186"/>
    </row>
    <row r="1617" spans="2:3" x14ac:dyDescent="0.3">
      <c r="B1617" s="187"/>
      <c r="C1617" s="186"/>
    </row>
    <row r="1618" spans="2:3" x14ac:dyDescent="0.3">
      <c r="B1618" s="187"/>
      <c r="C1618" s="186"/>
    </row>
    <row r="1619" spans="2:3" x14ac:dyDescent="0.3">
      <c r="B1619" s="187"/>
      <c r="C1619" s="186"/>
    </row>
    <row r="1620" spans="2:3" x14ac:dyDescent="0.3">
      <c r="B1620" s="187"/>
      <c r="C1620" s="186"/>
    </row>
    <row r="1621" spans="2:3" x14ac:dyDescent="0.3">
      <c r="B1621" s="187"/>
      <c r="C1621" s="186"/>
    </row>
    <row r="1622" spans="2:3" x14ac:dyDescent="0.3">
      <c r="B1622" s="187"/>
      <c r="C1622" s="186"/>
    </row>
    <row r="1623" spans="2:3" x14ac:dyDescent="0.3">
      <c r="B1623" s="187"/>
      <c r="C1623" s="186"/>
    </row>
    <row r="1624" spans="2:3" x14ac:dyDescent="0.3">
      <c r="B1624" s="187"/>
      <c r="C1624" s="186"/>
    </row>
    <row r="1625" spans="2:3" x14ac:dyDescent="0.3">
      <c r="B1625" s="187"/>
      <c r="C1625" s="186"/>
    </row>
    <row r="1626" spans="2:3" x14ac:dyDescent="0.3">
      <c r="B1626" s="187"/>
      <c r="C1626" s="186"/>
    </row>
    <row r="1627" spans="2:3" x14ac:dyDescent="0.3">
      <c r="B1627" s="187"/>
      <c r="C1627" s="186"/>
    </row>
    <row r="1628" spans="2:3" x14ac:dyDescent="0.3">
      <c r="B1628" s="187"/>
      <c r="C1628" s="186"/>
    </row>
    <row r="1629" spans="2:3" x14ac:dyDescent="0.3">
      <c r="B1629" s="187"/>
      <c r="C1629" s="186"/>
    </row>
    <row r="1630" spans="2:3" x14ac:dyDescent="0.3">
      <c r="B1630" s="187"/>
      <c r="C1630" s="186"/>
    </row>
    <row r="1631" spans="2:3" x14ac:dyDescent="0.3">
      <c r="B1631" s="187"/>
      <c r="C1631" s="186"/>
    </row>
    <row r="1632" spans="2:3" x14ac:dyDescent="0.3">
      <c r="B1632" s="187"/>
      <c r="C1632" s="186"/>
    </row>
    <row r="1633" spans="2:3" x14ac:dyDescent="0.3">
      <c r="B1633" s="187"/>
      <c r="C1633" s="186"/>
    </row>
    <row r="1634" spans="2:3" x14ac:dyDescent="0.3">
      <c r="B1634" s="187"/>
      <c r="C1634" s="186"/>
    </row>
    <row r="1635" spans="2:3" x14ac:dyDescent="0.3">
      <c r="B1635" s="187"/>
      <c r="C1635" s="186"/>
    </row>
    <row r="1636" spans="2:3" x14ac:dyDescent="0.3">
      <c r="B1636" s="187"/>
      <c r="C1636" s="186"/>
    </row>
    <row r="1637" spans="2:3" x14ac:dyDescent="0.3">
      <c r="B1637" s="187"/>
      <c r="C1637" s="186"/>
    </row>
    <row r="1638" spans="2:3" x14ac:dyDescent="0.3">
      <c r="B1638" s="187"/>
      <c r="C1638" s="186"/>
    </row>
    <row r="1639" spans="2:3" x14ac:dyDescent="0.3">
      <c r="B1639" s="187"/>
      <c r="C1639" s="186"/>
    </row>
    <row r="1640" spans="2:3" x14ac:dyDescent="0.3">
      <c r="B1640" s="187"/>
      <c r="C1640" s="186"/>
    </row>
    <row r="1641" spans="2:3" x14ac:dyDescent="0.3">
      <c r="B1641" s="187"/>
      <c r="C1641" s="186"/>
    </row>
    <row r="1642" spans="2:3" x14ac:dyDescent="0.3">
      <c r="B1642" s="187"/>
      <c r="C1642" s="186"/>
    </row>
    <row r="1643" spans="2:3" x14ac:dyDescent="0.3">
      <c r="B1643" s="187"/>
      <c r="C1643" s="186"/>
    </row>
    <row r="1644" spans="2:3" x14ac:dyDescent="0.3">
      <c r="B1644" s="187"/>
      <c r="C1644" s="186"/>
    </row>
    <row r="1645" spans="2:3" x14ac:dyDescent="0.3">
      <c r="B1645" s="187"/>
      <c r="C1645" s="186"/>
    </row>
    <row r="1646" spans="2:3" x14ac:dyDescent="0.3">
      <c r="B1646" s="187"/>
      <c r="C1646" s="186"/>
    </row>
    <row r="1647" spans="2:3" x14ac:dyDescent="0.3">
      <c r="B1647" s="187"/>
      <c r="C1647" s="186"/>
    </row>
    <row r="1648" spans="2:3" x14ac:dyDescent="0.3">
      <c r="B1648" s="187"/>
      <c r="C1648" s="186"/>
    </row>
    <row r="1649" spans="2:3" x14ac:dyDescent="0.3">
      <c r="B1649" s="187"/>
      <c r="C1649" s="186"/>
    </row>
    <row r="1650" spans="2:3" x14ac:dyDescent="0.3">
      <c r="B1650" s="187"/>
      <c r="C1650" s="186"/>
    </row>
    <row r="1651" spans="2:3" x14ac:dyDescent="0.3">
      <c r="B1651" s="187"/>
      <c r="C1651" s="186"/>
    </row>
    <row r="1652" spans="2:3" x14ac:dyDescent="0.3">
      <c r="B1652" s="187"/>
      <c r="C1652" s="186"/>
    </row>
    <row r="1653" spans="2:3" x14ac:dyDescent="0.3">
      <c r="B1653" s="187"/>
      <c r="C1653" s="186"/>
    </row>
    <row r="1654" spans="2:3" x14ac:dyDescent="0.3">
      <c r="B1654" s="187"/>
      <c r="C1654" s="186"/>
    </row>
    <row r="1655" spans="2:3" x14ac:dyDescent="0.3">
      <c r="B1655" s="187"/>
      <c r="C1655" s="186"/>
    </row>
    <row r="1656" spans="2:3" x14ac:dyDescent="0.3">
      <c r="B1656" s="187"/>
      <c r="C1656" s="186"/>
    </row>
    <row r="1657" spans="2:3" x14ac:dyDescent="0.3">
      <c r="B1657" s="187"/>
      <c r="C1657" s="186"/>
    </row>
    <row r="1658" spans="2:3" x14ac:dyDescent="0.3">
      <c r="B1658" s="187"/>
      <c r="C1658" s="186"/>
    </row>
    <row r="1659" spans="2:3" x14ac:dyDescent="0.3">
      <c r="B1659" s="187"/>
      <c r="C1659" s="186"/>
    </row>
    <row r="1660" spans="2:3" x14ac:dyDescent="0.3">
      <c r="B1660" s="187"/>
      <c r="C1660" s="186"/>
    </row>
    <row r="1661" spans="2:3" x14ac:dyDescent="0.3">
      <c r="B1661" s="187"/>
      <c r="C1661" s="186"/>
    </row>
    <row r="1662" spans="2:3" x14ac:dyDescent="0.3">
      <c r="B1662" s="187"/>
      <c r="C1662" s="186"/>
    </row>
    <row r="1663" spans="2:3" x14ac:dyDescent="0.3">
      <c r="B1663" s="187"/>
      <c r="C1663" s="186"/>
    </row>
    <row r="1664" spans="2:3" x14ac:dyDescent="0.3">
      <c r="B1664" s="187"/>
      <c r="C1664" s="186"/>
    </row>
    <row r="1665" spans="2:3" x14ac:dyDescent="0.3">
      <c r="B1665" s="187"/>
      <c r="C1665" s="186"/>
    </row>
    <row r="1666" spans="2:3" x14ac:dyDescent="0.3">
      <c r="B1666" s="187"/>
      <c r="C1666" s="186"/>
    </row>
    <row r="1667" spans="2:3" x14ac:dyDescent="0.3">
      <c r="B1667" s="187"/>
      <c r="C1667" s="186"/>
    </row>
    <row r="1668" spans="2:3" x14ac:dyDescent="0.3">
      <c r="B1668" s="187"/>
      <c r="C1668" s="186"/>
    </row>
    <row r="1669" spans="2:3" x14ac:dyDescent="0.3">
      <c r="B1669" s="187"/>
      <c r="C1669" s="186"/>
    </row>
    <row r="1670" spans="2:3" x14ac:dyDescent="0.3">
      <c r="B1670" s="187"/>
      <c r="C1670" s="186"/>
    </row>
    <row r="1671" spans="2:3" x14ac:dyDescent="0.3">
      <c r="B1671" s="187"/>
      <c r="C1671" s="186"/>
    </row>
    <row r="1672" spans="2:3" x14ac:dyDescent="0.3">
      <c r="B1672" s="187"/>
      <c r="C1672" s="186"/>
    </row>
    <row r="1673" spans="2:3" x14ac:dyDescent="0.3">
      <c r="B1673" s="187"/>
      <c r="C1673" s="186"/>
    </row>
    <row r="1674" spans="2:3" x14ac:dyDescent="0.3">
      <c r="B1674" s="187"/>
      <c r="C1674" s="186"/>
    </row>
    <row r="1675" spans="2:3" x14ac:dyDescent="0.3">
      <c r="B1675" s="187"/>
      <c r="C1675" s="186"/>
    </row>
    <row r="1676" spans="2:3" x14ac:dyDescent="0.3">
      <c r="B1676" s="187"/>
      <c r="C1676" s="186"/>
    </row>
    <row r="1677" spans="2:3" x14ac:dyDescent="0.3">
      <c r="B1677" s="187"/>
      <c r="C1677" s="186"/>
    </row>
    <row r="1678" spans="2:3" x14ac:dyDescent="0.3">
      <c r="B1678" s="187"/>
      <c r="C1678" s="186"/>
    </row>
    <row r="1679" spans="2:3" x14ac:dyDescent="0.3">
      <c r="B1679" s="187"/>
      <c r="C1679" s="186"/>
    </row>
    <row r="1680" spans="2:3" x14ac:dyDescent="0.3">
      <c r="B1680" s="187"/>
      <c r="C1680" s="186"/>
    </row>
    <row r="1681" spans="2:3" x14ac:dyDescent="0.3">
      <c r="B1681" s="187"/>
      <c r="C1681" s="186"/>
    </row>
    <row r="1682" spans="2:3" x14ac:dyDescent="0.3">
      <c r="B1682" s="187"/>
      <c r="C1682" s="186"/>
    </row>
    <row r="1683" spans="2:3" x14ac:dyDescent="0.3">
      <c r="B1683" s="187"/>
      <c r="C1683" s="186"/>
    </row>
    <row r="1684" spans="2:3" x14ac:dyDescent="0.3">
      <c r="B1684" s="187"/>
      <c r="C1684" s="186"/>
    </row>
    <row r="1685" spans="2:3" x14ac:dyDescent="0.3">
      <c r="B1685" s="187"/>
      <c r="C1685" s="186"/>
    </row>
    <row r="1686" spans="2:3" x14ac:dyDescent="0.3">
      <c r="B1686" s="187"/>
      <c r="C1686" s="186"/>
    </row>
    <row r="1687" spans="2:3" x14ac:dyDescent="0.3">
      <c r="B1687" s="187"/>
      <c r="C1687" s="186"/>
    </row>
    <row r="1688" spans="2:3" x14ac:dyDescent="0.3">
      <c r="B1688" s="187"/>
      <c r="C1688" s="186"/>
    </row>
    <row r="1689" spans="2:3" x14ac:dyDescent="0.3">
      <c r="B1689" s="187"/>
      <c r="C1689" s="186"/>
    </row>
    <row r="1690" spans="2:3" x14ac:dyDescent="0.3">
      <c r="B1690" s="187"/>
      <c r="C1690" s="186"/>
    </row>
    <row r="1691" spans="2:3" x14ac:dyDescent="0.3">
      <c r="B1691" s="187"/>
      <c r="C1691" s="186"/>
    </row>
    <row r="1692" spans="2:3" x14ac:dyDescent="0.3">
      <c r="B1692" s="187"/>
      <c r="C1692" s="186"/>
    </row>
    <row r="1693" spans="2:3" x14ac:dyDescent="0.3">
      <c r="B1693" s="187"/>
      <c r="C1693" s="186"/>
    </row>
    <row r="1694" spans="2:3" x14ac:dyDescent="0.3">
      <c r="B1694" s="187"/>
      <c r="C1694" s="186"/>
    </row>
    <row r="1695" spans="2:3" x14ac:dyDescent="0.3">
      <c r="B1695" s="187"/>
      <c r="C1695" s="186"/>
    </row>
    <row r="1696" spans="2:3" x14ac:dyDescent="0.3">
      <c r="B1696" s="187"/>
      <c r="C1696" s="186"/>
    </row>
    <row r="1697" spans="2:3" x14ac:dyDescent="0.3">
      <c r="B1697" s="187"/>
      <c r="C1697" s="186"/>
    </row>
    <row r="1698" spans="2:3" x14ac:dyDescent="0.3">
      <c r="B1698" s="187"/>
      <c r="C1698" s="186"/>
    </row>
    <row r="1699" spans="2:3" x14ac:dyDescent="0.3">
      <c r="B1699" s="187"/>
      <c r="C1699" s="186"/>
    </row>
    <row r="1700" spans="2:3" x14ac:dyDescent="0.3">
      <c r="B1700" s="187"/>
      <c r="C1700" s="186"/>
    </row>
    <row r="1701" spans="2:3" x14ac:dyDescent="0.3">
      <c r="B1701" s="187"/>
      <c r="C1701" s="186"/>
    </row>
    <row r="1702" spans="2:3" x14ac:dyDescent="0.3">
      <c r="B1702" s="187"/>
      <c r="C1702" s="186"/>
    </row>
    <row r="1703" spans="2:3" x14ac:dyDescent="0.3">
      <c r="B1703" s="187"/>
      <c r="C1703" s="186"/>
    </row>
    <row r="1704" spans="2:3" x14ac:dyDescent="0.3">
      <c r="B1704" s="187"/>
      <c r="C1704" s="186"/>
    </row>
    <row r="1705" spans="2:3" x14ac:dyDescent="0.3">
      <c r="B1705" s="187"/>
      <c r="C1705" s="186"/>
    </row>
    <row r="1706" spans="2:3" x14ac:dyDescent="0.3">
      <c r="B1706" s="187"/>
      <c r="C1706" s="186"/>
    </row>
    <row r="1707" spans="2:3" x14ac:dyDescent="0.3">
      <c r="B1707" s="187"/>
      <c r="C1707" s="186"/>
    </row>
    <row r="1708" spans="2:3" x14ac:dyDescent="0.3">
      <c r="B1708" s="187"/>
      <c r="C1708" s="186"/>
    </row>
    <row r="1709" spans="2:3" x14ac:dyDescent="0.3">
      <c r="B1709" s="187"/>
      <c r="C1709" s="186"/>
    </row>
    <row r="1710" spans="2:3" x14ac:dyDescent="0.3">
      <c r="B1710" s="187"/>
      <c r="C1710" s="186"/>
    </row>
    <row r="1711" spans="2:3" x14ac:dyDescent="0.3">
      <c r="B1711" s="187"/>
      <c r="C1711" s="186"/>
    </row>
    <row r="1712" spans="2:3" x14ac:dyDescent="0.3">
      <c r="B1712" s="187"/>
      <c r="C1712" s="186"/>
    </row>
    <row r="1713" spans="2:3" x14ac:dyDescent="0.3">
      <c r="B1713" s="187"/>
      <c r="C1713" s="186"/>
    </row>
    <row r="1714" spans="2:3" x14ac:dyDescent="0.3">
      <c r="B1714" s="187"/>
      <c r="C1714" s="186"/>
    </row>
    <row r="1715" spans="2:3" x14ac:dyDescent="0.3">
      <c r="B1715" s="187"/>
      <c r="C1715" s="186"/>
    </row>
    <row r="1716" spans="2:3" x14ac:dyDescent="0.3">
      <c r="B1716" s="187"/>
      <c r="C1716" s="186"/>
    </row>
    <row r="1717" spans="2:3" x14ac:dyDescent="0.3">
      <c r="B1717" s="187"/>
      <c r="C1717" s="186"/>
    </row>
    <row r="1718" spans="2:3" x14ac:dyDescent="0.3">
      <c r="B1718" s="187"/>
      <c r="C1718" s="186"/>
    </row>
    <row r="1719" spans="2:3" x14ac:dyDescent="0.3">
      <c r="B1719" s="187"/>
      <c r="C1719" s="186"/>
    </row>
    <row r="1720" spans="2:3" x14ac:dyDescent="0.3">
      <c r="B1720" s="187"/>
      <c r="C1720" s="186"/>
    </row>
    <row r="1721" spans="2:3" x14ac:dyDescent="0.3">
      <c r="B1721" s="187"/>
      <c r="C1721" s="186"/>
    </row>
    <row r="1722" spans="2:3" x14ac:dyDescent="0.3">
      <c r="B1722" s="187"/>
      <c r="C1722" s="186"/>
    </row>
    <row r="1723" spans="2:3" x14ac:dyDescent="0.3">
      <c r="B1723" s="187"/>
      <c r="C1723" s="186"/>
    </row>
    <row r="1724" spans="2:3" x14ac:dyDescent="0.3">
      <c r="B1724" s="187"/>
      <c r="C1724" s="186"/>
    </row>
    <row r="1725" spans="2:3" x14ac:dyDescent="0.3">
      <c r="B1725" s="187"/>
      <c r="C1725" s="186"/>
    </row>
    <row r="1726" spans="2:3" x14ac:dyDescent="0.3">
      <c r="B1726" s="187"/>
      <c r="C1726" s="186"/>
    </row>
    <row r="1727" spans="2:3" x14ac:dyDescent="0.3">
      <c r="B1727" s="187"/>
      <c r="C1727" s="186"/>
    </row>
    <row r="1728" spans="2:3" x14ac:dyDescent="0.3">
      <c r="B1728" s="187"/>
      <c r="C1728" s="186"/>
    </row>
    <row r="1729" spans="2:3" x14ac:dyDescent="0.3">
      <c r="B1729" s="187"/>
      <c r="C1729" s="186"/>
    </row>
    <row r="1730" spans="2:3" x14ac:dyDescent="0.3">
      <c r="B1730" s="187"/>
      <c r="C1730" s="186"/>
    </row>
    <row r="1731" spans="2:3" x14ac:dyDescent="0.3">
      <c r="B1731" s="187"/>
      <c r="C1731" s="186"/>
    </row>
    <row r="1732" spans="2:3" x14ac:dyDescent="0.3">
      <c r="B1732" s="187"/>
      <c r="C1732" s="186"/>
    </row>
    <row r="1733" spans="2:3" x14ac:dyDescent="0.3">
      <c r="B1733" s="187"/>
      <c r="C1733" s="186"/>
    </row>
    <row r="1734" spans="2:3" x14ac:dyDescent="0.3">
      <c r="B1734" s="187"/>
      <c r="C1734" s="186"/>
    </row>
    <row r="1735" spans="2:3" x14ac:dyDescent="0.3">
      <c r="B1735" s="187"/>
      <c r="C1735" s="186"/>
    </row>
    <row r="1736" spans="2:3" x14ac:dyDescent="0.3">
      <c r="B1736" s="187"/>
      <c r="C1736" s="186"/>
    </row>
    <row r="1737" spans="2:3" x14ac:dyDescent="0.3">
      <c r="B1737" s="187"/>
      <c r="C1737" s="186"/>
    </row>
    <row r="1738" spans="2:3" x14ac:dyDescent="0.3">
      <c r="B1738" s="187"/>
      <c r="C1738" s="186"/>
    </row>
    <row r="1739" spans="2:3" x14ac:dyDescent="0.3">
      <c r="B1739" s="187"/>
      <c r="C1739" s="186"/>
    </row>
    <row r="1740" spans="2:3" x14ac:dyDescent="0.3">
      <c r="B1740" s="187"/>
      <c r="C1740" s="186"/>
    </row>
    <row r="1741" spans="2:3" x14ac:dyDescent="0.3">
      <c r="B1741" s="187"/>
      <c r="C1741" s="186"/>
    </row>
    <row r="1742" spans="2:3" x14ac:dyDescent="0.3">
      <c r="B1742" s="187"/>
      <c r="C1742" s="186"/>
    </row>
    <row r="1743" spans="2:3" x14ac:dyDescent="0.3">
      <c r="B1743" s="187"/>
      <c r="C1743" s="186"/>
    </row>
    <row r="1744" spans="2:3" x14ac:dyDescent="0.3">
      <c r="B1744" s="187"/>
      <c r="C1744" s="186"/>
    </row>
    <row r="1745" spans="2:3" x14ac:dyDescent="0.3">
      <c r="B1745" s="187"/>
      <c r="C1745" s="186"/>
    </row>
    <row r="1746" spans="2:3" x14ac:dyDescent="0.3">
      <c r="B1746" s="187"/>
      <c r="C1746" s="186"/>
    </row>
    <row r="1747" spans="2:3" x14ac:dyDescent="0.3">
      <c r="B1747" s="187"/>
      <c r="C1747" s="186"/>
    </row>
    <row r="1748" spans="2:3" x14ac:dyDescent="0.3">
      <c r="B1748" s="187"/>
      <c r="C1748" s="186"/>
    </row>
    <row r="1749" spans="2:3" x14ac:dyDescent="0.3">
      <c r="B1749" s="187"/>
      <c r="C1749" s="186"/>
    </row>
    <row r="1750" spans="2:3" x14ac:dyDescent="0.3">
      <c r="B1750" s="187"/>
      <c r="C1750" s="186"/>
    </row>
    <row r="1751" spans="2:3" x14ac:dyDescent="0.3">
      <c r="B1751" s="187"/>
      <c r="C1751" s="186"/>
    </row>
    <row r="1752" spans="2:3" x14ac:dyDescent="0.3">
      <c r="B1752" s="187"/>
      <c r="C1752" s="186"/>
    </row>
    <row r="1753" spans="2:3" x14ac:dyDescent="0.3">
      <c r="B1753" s="187"/>
      <c r="C1753" s="186"/>
    </row>
    <row r="1754" spans="2:3" x14ac:dyDescent="0.3">
      <c r="B1754" s="187"/>
      <c r="C1754" s="186"/>
    </row>
    <row r="1755" spans="2:3" x14ac:dyDescent="0.3">
      <c r="B1755" s="187"/>
      <c r="C1755" s="186"/>
    </row>
    <row r="1756" spans="2:3" x14ac:dyDescent="0.3">
      <c r="B1756" s="187"/>
      <c r="C1756" s="186"/>
    </row>
    <row r="1757" spans="2:3" x14ac:dyDescent="0.3">
      <c r="B1757" s="187"/>
      <c r="C1757" s="186"/>
    </row>
    <row r="1758" spans="2:3" x14ac:dyDescent="0.3">
      <c r="B1758" s="187"/>
      <c r="C1758" s="186"/>
    </row>
    <row r="1759" spans="2:3" x14ac:dyDescent="0.3">
      <c r="B1759" s="187"/>
      <c r="C1759" s="186"/>
    </row>
    <row r="1760" spans="2:3" x14ac:dyDescent="0.3">
      <c r="B1760" s="187"/>
      <c r="C1760" s="186"/>
    </row>
    <row r="1761" spans="2:3" x14ac:dyDescent="0.3">
      <c r="B1761" s="187"/>
      <c r="C1761" s="186"/>
    </row>
    <row r="1762" spans="2:3" x14ac:dyDescent="0.3">
      <c r="B1762" s="187"/>
      <c r="C1762" s="186"/>
    </row>
    <row r="1763" spans="2:3" x14ac:dyDescent="0.3">
      <c r="B1763" s="187"/>
      <c r="C1763" s="186"/>
    </row>
    <row r="1764" spans="2:3" x14ac:dyDescent="0.3">
      <c r="B1764" s="187"/>
      <c r="C1764" s="186"/>
    </row>
    <row r="1765" spans="2:3" x14ac:dyDescent="0.3">
      <c r="B1765" s="187"/>
      <c r="C1765" s="186"/>
    </row>
    <row r="1766" spans="2:3" x14ac:dyDescent="0.3">
      <c r="B1766" s="187"/>
      <c r="C1766" s="186"/>
    </row>
    <row r="1767" spans="2:3" x14ac:dyDescent="0.3">
      <c r="B1767" s="187"/>
      <c r="C1767" s="186"/>
    </row>
    <row r="1768" spans="2:3" x14ac:dyDescent="0.3">
      <c r="B1768" s="187"/>
      <c r="C1768" s="186"/>
    </row>
    <row r="1769" spans="2:3" x14ac:dyDescent="0.3">
      <c r="B1769" s="187"/>
      <c r="C1769" s="186"/>
    </row>
    <row r="1770" spans="2:3" x14ac:dyDescent="0.3">
      <c r="B1770" s="187"/>
      <c r="C1770" s="186"/>
    </row>
    <row r="1771" spans="2:3" x14ac:dyDescent="0.3">
      <c r="B1771" s="187"/>
      <c r="C1771" s="186"/>
    </row>
    <row r="1772" spans="2:3" x14ac:dyDescent="0.3">
      <c r="B1772" s="187"/>
      <c r="C1772" s="186"/>
    </row>
    <row r="1773" spans="2:3" x14ac:dyDescent="0.3">
      <c r="B1773" s="187"/>
      <c r="C1773" s="186"/>
    </row>
    <row r="1774" spans="2:3" x14ac:dyDescent="0.3">
      <c r="B1774" s="187"/>
      <c r="C1774" s="186"/>
    </row>
    <row r="1775" spans="2:3" x14ac:dyDescent="0.3">
      <c r="B1775" s="187"/>
      <c r="C1775" s="186"/>
    </row>
    <row r="1776" spans="2:3" x14ac:dyDescent="0.3">
      <c r="B1776" s="187"/>
      <c r="C1776" s="186"/>
    </row>
    <row r="1777" spans="2:3" x14ac:dyDescent="0.3">
      <c r="B1777" s="187"/>
      <c r="C1777" s="186"/>
    </row>
    <row r="1778" spans="2:3" x14ac:dyDescent="0.3">
      <c r="B1778" s="187"/>
      <c r="C1778" s="186"/>
    </row>
    <row r="1779" spans="2:3" x14ac:dyDescent="0.3">
      <c r="B1779" s="187"/>
      <c r="C1779" s="186"/>
    </row>
    <row r="1780" spans="2:3" x14ac:dyDescent="0.3">
      <c r="B1780" s="187"/>
      <c r="C1780" s="186"/>
    </row>
    <row r="1781" spans="2:3" x14ac:dyDescent="0.3">
      <c r="B1781" s="187"/>
      <c r="C1781" s="186"/>
    </row>
    <row r="1782" spans="2:3" x14ac:dyDescent="0.3">
      <c r="B1782" s="187"/>
      <c r="C1782" s="186"/>
    </row>
    <row r="1783" spans="2:3" x14ac:dyDescent="0.3">
      <c r="B1783" s="187"/>
      <c r="C1783" s="186"/>
    </row>
    <row r="1784" spans="2:3" x14ac:dyDescent="0.3">
      <c r="B1784" s="187"/>
      <c r="C1784" s="186"/>
    </row>
    <row r="1785" spans="2:3" x14ac:dyDescent="0.3">
      <c r="B1785" s="187"/>
      <c r="C1785" s="186"/>
    </row>
    <row r="1786" spans="2:3" x14ac:dyDescent="0.3">
      <c r="B1786" s="187"/>
      <c r="C1786" s="186"/>
    </row>
    <row r="1787" spans="2:3" x14ac:dyDescent="0.3">
      <c r="B1787" s="187"/>
      <c r="C1787" s="186"/>
    </row>
    <row r="1788" spans="2:3" x14ac:dyDescent="0.3">
      <c r="B1788" s="187"/>
      <c r="C1788" s="186"/>
    </row>
    <row r="1789" spans="2:3" x14ac:dyDescent="0.3">
      <c r="B1789" s="187"/>
      <c r="C1789" s="186"/>
    </row>
    <row r="1790" spans="2:3" x14ac:dyDescent="0.3">
      <c r="B1790" s="187"/>
      <c r="C1790" s="186"/>
    </row>
    <row r="1791" spans="2:3" x14ac:dyDescent="0.3">
      <c r="B1791" s="187"/>
      <c r="C1791" s="186"/>
    </row>
    <row r="1792" spans="2:3" x14ac:dyDescent="0.3">
      <c r="B1792" s="187"/>
      <c r="C1792" s="186"/>
    </row>
    <row r="1793" spans="2:3" x14ac:dyDescent="0.3">
      <c r="B1793" s="187"/>
      <c r="C1793" s="186"/>
    </row>
    <row r="1794" spans="2:3" x14ac:dyDescent="0.3">
      <c r="B1794" s="187"/>
      <c r="C1794" s="186"/>
    </row>
    <row r="1795" spans="2:3" x14ac:dyDescent="0.3">
      <c r="B1795" s="187"/>
      <c r="C1795" s="186"/>
    </row>
    <row r="1796" spans="2:3" x14ac:dyDescent="0.3">
      <c r="B1796" s="187"/>
      <c r="C1796" s="186"/>
    </row>
    <row r="1797" spans="2:3" x14ac:dyDescent="0.3">
      <c r="B1797" s="187"/>
      <c r="C1797" s="186"/>
    </row>
    <row r="1798" spans="2:3" x14ac:dyDescent="0.3">
      <c r="B1798" s="187"/>
      <c r="C1798" s="186"/>
    </row>
    <row r="1799" spans="2:3" x14ac:dyDescent="0.3">
      <c r="B1799" s="187"/>
      <c r="C1799" s="186"/>
    </row>
    <row r="1800" spans="2:3" x14ac:dyDescent="0.3">
      <c r="B1800" s="187"/>
      <c r="C1800" s="186"/>
    </row>
    <row r="1801" spans="2:3" x14ac:dyDescent="0.3">
      <c r="B1801" s="187"/>
      <c r="C1801" s="186"/>
    </row>
    <row r="1802" spans="2:3" x14ac:dyDescent="0.3">
      <c r="B1802" s="187"/>
      <c r="C1802" s="186"/>
    </row>
    <row r="1803" spans="2:3" x14ac:dyDescent="0.3">
      <c r="B1803" s="187"/>
      <c r="C1803" s="186"/>
    </row>
    <row r="1804" spans="2:3" x14ac:dyDescent="0.3">
      <c r="B1804" s="187"/>
      <c r="C1804" s="186"/>
    </row>
    <row r="1805" spans="2:3" x14ac:dyDescent="0.3">
      <c r="B1805" s="187"/>
      <c r="C1805" s="186"/>
    </row>
    <row r="1806" spans="2:3" x14ac:dyDescent="0.3">
      <c r="B1806" s="187"/>
      <c r="C1806" s="186"/>
    </row>
    <row r="1807" spans="2:3" x14ac:dyDescent="0.3">
      <c r="B1807" s="187"/>
      <c r="C1807" s="186"/>
    </row>
    <row r="1808" spans="2:3" x14ac:dyDescent="0.3">
      <c r="B1808" s="187"/>
      <c r="C1808" s="186"/>
    </row>
    <row r="1809" spans="2:3" x14ac:dyDescent="0.3">
      <c r="B1809" s="187"/>
      <c r="C1809" s="186"/>
    </row>
    <row r="1810" spans="2:3" x14ac:dyDescent="0.3">
      <c r="B1810" s="187"/>
      <c r="C1810" s="186"/>
    </row>
    <row r="1811" spans="2:3" x14ac:dyDescent="0.3">
      <c r="B1811" s="187"/>
      <c r="C1811" s="186"/>
    </row>
    <row r="1812" spans="2:3" x14ac:dyDescent="0.3">
      <c r="B1812" s="187"/>
      <c r="C1812" s="186"/>
    </row>
    <row r="1813" spans="2:3" x14ac:dyDescent="0.3">
      <c r="B1813" s="187"/>
      <c r="C1813" s="186"/>
    </row>
    <row r="1814" spans="2:3" x14ac:dyDescent="0.3">
      <c r="B1814" s="187"/>
      <c r="C1814" s="186"/>
    </row>
    <row r="1815" spans="2:3" x14ac:dyDescent="0.3">
      <c r="B1815" s="187"/>
      <c r="C1815" s="186"/>
    </row>
    <row r="1816" spans="2:3" x14ac:dyDescent="0.3">
      <c r="B1816" s="187"/>
      <c r="C1816" s="186"/>
    </row>
    <row r="1817" spans="2:3" x14ac:dyDescent="0.3">
      <c r="B1817" s="187"/>
      <c r="C1817" s="186"/>
    </row>
    <row r="1818" spans="2:3" x14ac:dyDescent="0.3">
      <c r="B1818" s="187"/>
      <c r="C1818" s="186"/>
    </row>
    <row r="1819" spans="2:3" x14ac:dyDescent="0.3">
      <c r="B1819" s="187"/>
      <c r="C1819" s="186"/>
    </row>
    <row r="1820" spans="2:3" x14ac:dyDescent="0.3">
      <c r="B1820" s="187"/>
      <c r="C1820" s="186"/>
    </row>
    <row r="1821" spans="2:3" x14ac:dyDescent="0.3">
      <c r="B1821" s="187"/>
      <c r="C1821" s="186"/>
    </row>
    <row r="1822" spans="2:3" x14ac:dyDescent="0.3">
      <c r="B1822" s="187"/>
      <c r="C1822" s="186"/>
    </row>
    <row r="1823" spans="2:3" x14ac:dyDescent="0.3">
      <c r="B1823" s="187"/>
      <c r="C1823" s="186"/>
    </row>
    <row r="1824" spans="2:3" x14ac:dyDescent="0.3">
      <c r="B1824" s="187"/>
      <c r="C1824" s="186"/>
    </row>
    <row r="1825" spans="2:3" x14ac:dyDescent="0.3">
      <c r="B1825" s="187"/>
      <c r="C1825" s="186"/>
    </row>
    <row r="1826" spans="2:3" x14ac:dyDescent="0.3">
      <c r="B1826" s="187"/>
      <c r="C1826" s="186"/>
    </row>
    <row r="1827" spans="2:3" x14ac:dyDescent="0.3">
      <c r="B1827" s="187"/>
      <c r="C1827" s="186"/>
    </row>
    <row r="1828" spans="2:3" x14ac:dyDescent="0.3">
      <c r="B1828" s="187"/>
      <c r="C1828" s="186"/>
    </row>
    <row r="1829" spans="2:3" x14ac:dyDescent="0.3">
      <c r="B1829" s="187"/>
      <c r="C1829" s="186"/>
    </row>
    <row r="1830" spans="2:3" x14ac:dyDescent="0.3">
      <c r="B1830" s="187"/>
      <c r="C1830" s="186"/>
    </row>
    <row r="1831" spans="2:3" x14ac:dyDescent="0.3">
      <c r="B1831" s="187"/>
      <c r="C1831" s="186"/>
    </row>
    <row r="1832" spans="2:3" x14ac:dyDescent="0.3">
      <c r="B1832" s="187"/>
      <c r="C1832" s="186"/>
    </row>
    <row r="1833" spans="2:3" x14ac:dyDescent="0.3">
      <c r="B1833" s="187"/>
      <c r="C1833" s="186"/>
    </row>
    <row r="1834" spans="2:3" x14ac:dyDescent="0.3">
      <c r="B1834" s="187"/>
      <c r="C1834" s="186"/>
    </row>
    <row r="1835" spans="2:3" x14ac:dyDescent="0.3">
      <c r="B1835" s="187"/>
      <c r="C1835" s="186"/>
    </row>
    <row r="1836" spans="2:3" x14ac:dyDescent="0.3">
      <c r="B1836" s="187"/>
      <c r="C1836" s="186"/>
    </row>
    <row r="1837" spans="2:3" x14ac:dyDescent="0.3">
      <c r="B1837" s="187"/>
      <c r="C1837" s="186"/>
    </row>
    <row r="1838" spans="2:3" x14ac:dyDescent="0.3">
      <c r="B1838" s="187"/>
      <c r="C1838" s="186"/>
    </row>
    <row r="1839" spans="2:3" x14ac:dyDescent="0.3">
      <c r="B1839" s="187"/>
      <c r="C1839" s="186"/>
    </row>
    <row r="1840" spans="2:3" x14ac:dyDescent="0.3">
      <c r="B1840" s="187"/>
      <c r="C1840" s="186"/>
    </row>
    <row r="1841" spans="2:3" x14ac:dyDescent="0.3">
      <c r="B1841" s="187"/>
      <c r="C1841" s="186"/>
    </row>
    <row r="1842" spans="2:3" x14ac:dyDescent="0.3">
      <c r="B1842" s="187"/>
      <c r="C1842" s="186"/>
    </row>
    <row r="1843" spans="2:3" x14ac:dyDescent="0.3">
      <c r="B1843" s="187"/>
      <c r="C1843" s="186"/>
    </row>
    <row r="1844" spans="2:3" x14ac:dyDescent="0.3">
      <c r="B1844" s="187"/>
      <c r="C1844" s="186"/>
    </row>
    <row r="1845" spans="2:3" x14ac:dyDescent="0.3">
      <c r="B1845" s="187"/>
      <c r="C1845" s="186"/>
    </row>
    <row r="1846" spans="2:3" x14ac:dyDescent="0.3">
      <c r="B1846" s="187"/>
      <c r="C1846" s="186"/>
    </row>
    <row r="1847" spans="2:3" x14ac:dyDescent="0.3">
      <c r="B1847" s="187"/>
      <c r="C1847" s="186"/>
    </row>
    <row r="1848" spans="2:3" x14ac:dyDescent="0.3">
      <c r="B1848" s="187"/>
      <c r="C1848" s="186"/>
    </row>
    <row r="1849" spans="2:3" x14ac:dyDescent="0.3">
      <c r="B1849" s="187"/>
      <c r="C1849" s="186"/>
    </row>
    <row r="1850" spans="2:3" x14ac:dyDescent="0.3">
      <c r="B1850" s="187"/>
      <c r="C1850" s="186"/>
    </row>
    <row r="1851" spans="2:3" x14ac:dyDescent="0.3">
      <c r="B1851" s="187"/>
      <c r="C1851" s="186"/>
    </row>
    <row r="1852" spans="2:3" x14ac:dyDescent="0.3">
      <c r="B1852" s="187"/>
      <c r="C1852" s="186"/>
    </row>
    <row r="1853" spans="2:3" x14ac:dyDescent="0.3">
      <c r="B1853" s="187"/>
      <c r="C1853" s="186"/>
    </row>
    <row r="1854" spans="2:3" x14ac:dyDescent="0.3">
      <c r="B1854" s="187"/>
      <c r="C1854" s="186"/>
    </row>
    <row r="1855" spans="2:3" x14ac:dyDescent="0.3">
      <c r="B1855" s="187"/>
      <c r="C1855" s="186"/>
    </row>
    <row r="1856" spans="2:3" x14ac:dyDescent="0.3">
      <c r="B1856" s="187"/>
      <c r="C1856" s="186"/>
    </row>
    <row r="1857" spans="2:3" x14ac:dyDescent="0.3">
      <c r="B1857" s="187"/>
      <c r="C1857" s="186"/>
    </row>
    <row r="1858" spans="2:3" x14ac:dyDescent="0.3">
      <c r="B1858" s="187"/>
      <c r="C1858" s="186"/>
    </row>
    <row r="1859" spans="2:3" x14ac:dyDescent="0.3">
      <c r="B1859" s="187"/>
      <c r="C1859" s="186"/>
    </row>
    <row r="1860" spans="2:3" x14ac:dyDescent="0.3">
      <c r="B1860" s="187"/>
      <c r="C1860" s="186"/>
    </row>
    <row r="1861" spans="2:3" x14ac:dyDescent="0.3">
      <c r="B1861" s="187"/>
      <c r="C1861" s="186"/>
    </row>
    <row r="1862" spans="2:3" x14ac:dyDescent="0.3">
      <c r="B1862" s="187"/>
      <c r="C1862" s="186"/>
    </row>
    <row r="1863" spans="2:3" x14ac:dyDescent="0.3">
      <c r="B1863" s="187"/>
      <c r="C1863" s="186"/>
    </row>
    <row r="1864" spans="2:3" x14ac:dyDescent="0.3">
      <c r="B1864" s="187"/>
      <c r="C1864" s="186"/>
    </row>
    <row r="1865" spans="2:3" x14ac:dyDescent="0.3">
      <c r="B1865" s="187"/>
      <c r="C1865" s="186"/>
    </row>
    <row r="1866" spans="2:3" x14ac:dyDescent="0.3">
      <c r="B1866" s="187"/>
      <c r="C1866" s="186"/>
    </row>
    <row r="1867" spans="2:3" x14ac:dyDescent="0.3">
      <c r="B1867" s="187"/>
      <c r="C1867" s="186"/>
    </row>
    <row r="1868" spans="2:3" x14ac:dyDescent="0.3">
      <c r="B1868" s="187"/>
      <c r="C1868" s="186"/>
    </row>
    <row r="1869" spans="2:3" x14ac:dyDescent="0.3">
      <c r="B1869" s="187"/>
      <c r="C1869" s="186"/>
    </row>
    <row r="1870" spans="2:3" x14ac:dyDescent="0.3">
      <c r="B1870" s="187"/>
      <c r="C1870" s="186"/>
    </row>
    <row r="1871" spans="2:3" x14ac:dyDescent="0.3">
      <c r="B1871" s="187"/>
      <c r="C1871" s="186"/>
    </row>
    <row r="1872" spans="2:3" x14ac:dyDescent="0.3">
      <c r="B1872" s="187"/>
      <c r="C1872" s="186"/>
    </row>
    <row r="1873" spans="2:3" x14ac:dyDescent="0.3">
      <c r="B1873" s="187"/>
      <c r="C1873" s="186"/>
    </row>
    <row r="1874" spans="2:3" x14ac:dyDescent="0.3">
      <c r="B1874" s="187"/>
      <c r="C1874" s="186"/>
    </row>
    <row r="1875" spans="2:3" x14ac:dyDescent="0.3">
      <c r="B1875" s="187"/>
      <c r="C1875" s="186"/>
    </row>
    <row r="1876" spans="2:3" x14ac:dyDescent="0.3">
      <c r="B1876" s="187"/>
      <c r="C1876" s="186"/>
    </row>
    <row r="1877" spans="2:3" x14ac:dyDescent="0.3">
      <c r="B1877" s="187"/>
      <c r="C1877" s="186"/>
    </row>
    <row r="1878" spans="2:3" x14ac:dyDescent="0.3">
      <c r="B1878" s="187"/>
      <c r="C1878" s="186"/>
    </row>
    <row r="1879" spans="2:3" x14ac:dyDescent="0.3">
      <c r="B1879" s="187"/>
      <c r="C1879" s="186"/>
    </row>
    <row r="1880" spans="2:3" x14ac:dyDescent="0.3">
      <c r="B1880" s="187"/>
      <c r="C1880" s="186"/>
    </row>
    <row r="1881" spans="2:3" x14ac:dyDescent="0.3">
      <c r="B1881" s="187"/>
      <c r="C1881" s="186"/>
    </row>
    <row r="1882" spans="2:3" x14ac:dyDescent="0.3">
      <c r="B1882" s="187"/>
      <c r="C1882" s="186"/>
    </row>
    <row r="1883" spans="2:3" x14ac:dyDescent="0.3">
      <c r="B1883" s="187"/>
      <c r="C1883" s="186"/>
    </row>
    <row r="1884" spans="2:3" x14ac:dyDescent="0.3">
      <c r="B1884" s="187"/>
      <c r="C1884" s="186"/>
    </row>
    <row r="1885" spans="2:3" x14ac:dyDescent="0.3">
      <c r="B1885" s="187"/>
      <c r="C1885" s="186"/>
    </row>
    <row r="1886" spans="2:3" x14ac:dyDescent="0.3">
      <c r="B1886" s="187"/>
      <c r="C1886" s="186"/>
    </row>
    <row r="1887" spans="2:3" x14ac:dyDescent="0.3">
      <c r="B1887" s="187"/>
      <c r="C1887" s="186"/>
    </row>
    <row r="1888" spans="2:3" x14ac:dyDescent="0.3">
      <c r="B1888" s="187"/>
      <c r="C1888" s="186"/>
    </row>
    <row r="1889" spans="2:3" x14ac:dyDescent="0.3">
      <c r="B1889" s="187"/>
      <c r="C1889" s="186"/>
    </row>
    <row r="1890" spans="2:3" x14ac:dyDescent="0.3">
      <c r="B1890" s="187"/>
      <c r="C1890" s="186"/>
    </row>
    <row r="1891" spans="2:3" x14ac:dyDescent="0.3">
      <c r="B1891" s="187"/>
      <c r="C1891" s="186"/>
    </row>
    <row r="1892" spans="2:3" x14ac:dyDescent="0.3">
      <c r="B1892" s="187"/>
      <c r="C1892" s="186"/>
    </row>
    <row r="1893" spans="2:3" x14ac:dyDescent="0.3">
      <c r="B1893" s="187"/>
      <c r="C1893" s="186"/>
    </row>
    <row r="1894" spans="2:3" x14ac:dyDescent="0.3">
      <c r="B1894" s="187"/>
      <c r="C1894" s="186"/>
    </row>
    <row r="1895" spans="2:3" x14ac:dyDescent="0.3">
      <c r="B1895" s="187"/>
      <c r="C1895" s="186"/>
    </row>
    <row r="1896" spans="2:3" x14ac:dyDescent="0.3">
      <c r="B1896" s="187"/>
      <c r="C1896" s="186"/>
    </row>
    <row r="1897" spans="2:3" x14ac:dyDescent="0.3">
      <c r="B1897" s="187"/>
      <c r="C1897" s="186"/>
    </row>
    <row r="1898" spans="2:3" x14ac:dyDescent="0.3">
      <c r="B1898" s="187"/>
      <c r="C1898" s="186"/>
    </row>
    <row r="1899" spans="2:3" x14ac:dyDescent="0.3">
      <c r="B1899" s="187"/>
      <c r="C1899" s="186"/>
    </row>
    <row r="1900" spans="2:3" x14ac:dyDescent="0.3">
      <c r="B1900" s="187"/>
      <c r="C1900" s="186"/>
    </row>
    <row r="1901" spans="2:3" x14ac:dyDescent="0.3">
      <c r="B1901" s="187"/>
      <c r="C1901" s="186"/>
    </row>
    <row r="1902" spans="2:3" x14ac:dyDescent="0.3">
      <c r="B1902" s="187"/>
      <c r="C1902" s="186"/>
    </row>
    <row r="1903" spans="2:3" x14ac:dyDescent="0.3">
      <c r="B1903" s="187"/>
      <c r="C1903" s="186"/>
    </row>
    <row r="1904" spans="2:3" x14ac:dyDescent="0.3">
      <c r="B1904" s="187"/>
      <c r="C1904" s="186"/>
    </row>
    <row r="1905" spans="2:3" x14ac:dyDescent="0.3">
      <c r="B1905" s="187"/>
      <c r="C1905" s="186"/>
    </row>
    <row r="1906" spans="2:3" x14ac:dyDescent="0.3">
      <c r="B1906" s="187"/>
      <c r="C1906" s="186"/>
    </row>
    <row r="1907" spans="2:3" x14ac:dyDescent="0.3">
      <c r="B1907" s="187"/>
      <c r="C1907" s="186"/>
    </row>
    <row r="1908" spans="2:3" x14ac:dyDescent="0.3">
      <c r="B1908" s="187"/>
      <c r="C1908" s="186"/>
    </row>
    <row r="1909" spans="2:3" x14ac:dyDescent="0.3">
      <c r="B1909" s="187"/>
      <c r="C1909" s="186"/>
    </row>
    <row r="1910" spans="2:3" x14ac:dyDescent="0.3">
      <c r="B1910" s="187"/>
      <c r="C1910" s="186"/>
    </row>
    <row r="1911" spans="2:3" x14ac:dyDescent="0.3">
      <c r="B1911" s="187"/>
      <c r="C1911" s="186"/>
    </row>
    <row r="1912" spans="2:3" x14ac:dyDescent="0.3">
      <c r="B1912" s="187"/>
      <c r="C1912" s="186"/>
    </row>
    <row r="1913" spans="2:3" x14ac:dyDescent="0.3">
      <c r="B1913" s="187"/>
      <c r="C1913" s="186"/>
    </row>
    <row r="1914" spans="2:3" x14ac:dyDescent="0.3">
      <c r="B1914" s="187"/>
      <c r="C1914" s="186"/>
    </row>
    <row r="1915" spans="2:3" x14ac:dyDescent="0.3">
      <c r="B1915" s="187"/>
      <c r="C1915" s="186"/>
    </row>
    <row r="1916" spans="2:3" x14ac:dyDescent="0.3">
      <c r="B1916" s="187"/>
      <c r="C1916" s="186"/>
    </row>
    <row r="1917" spans="2:3" x14ac:dyDescent="0.3">
      <c r="B1917" s="187"/>
      <c r="C1917" s="186"/>
    </row>
    <row r="1918" spans="2:3" x14ac:dyDescent="0.3">
      <c r="B1918" s="187"/>
      <c r="C1918" s="186"/>
    </row>
    <row r="1919" spans="2:3" x14ac:dyDescent="0.3">
      <c r="B1919" s="187"/>
      <c r="C1919" s="186"/>
    </row>
    <row r="1920" spans="2:3" x14ac:dyDescent="0.3">
      <c r="B1920" s="187"/>
      <c r="C1920" s="186"/>
    </row>
    <row r="1921" spans="2:3" x14ac:dyDescent="0.3">
      <c r="B1921" s="187"/>
      <c r="C1921" s="186"/>
    </row>
    <row r="1922" spans="2:3" x14ac:dyDescent="0.3">
      <c r="B1922" s="187"/>
      <c r="C1922" s="186"/>
    </row>
    <row r="1923" spans="2:3" x14ac:dyDescent="0.3">
      <c r="B1923" s="187"/>
      <c r="C1923" s="186"/>
    </row>
    <row r="1924" spans="2:3" x14ac:dyDescent="0.3">
      <c r="B1924" s="187"/>
      <c r="C1924" s="186"/>
    </row>
    <row r="1925" spans="2:3" x14ac:dyDescent="0.3">
      <c r="B1925" s="187"/>
      <c r="C1925" s="186"/>
    </row>
    <row r="1926" spans="2:3" x14ac:dyDescent="0.3">
      <c r="B1926" s="187"/>
      <c r="C1926" s="186"/>
    </row>
    <row r="1927" spans="2:3" x14ac:dyDescent="0.3">
      <c r="B1927" s="187"/>
      <c r="C1927" s="186"/>
    </row>
    <row r="1928" spans="2:3" x14ac:dyDescent="0.3">
      <c r="B1928" s="187"/>
      <c r="C1928" s="186"/>
    </row>
    <row r="1929" spans="2:3" x14ac:dyDescent="0.3">
      <c r="B1929" s="187"/>
      <c r="C1929" s="186"/>
    </row>
    <row r="1930" spans="2:3" x14ac:dyDescent="0.3">
      <c r="B1930" s="187"/>
      <c r="C1930" s="186"/>
    </row>
    <row r="1931" spans="2:3" x14ac:dyDescent="0.3">
      <c r="B1931" s="187"/>
      <c r="C1931" s="186"/>
    </row>
    <row r="1932" spans="2:3" x14ac:dyDescent="0.3">
      <c r="B1932" s="187"/>
      <c r="C1932" s="186"/>
    </row>
    <row r="1933" spans="2:3" x14ac:dyDescent="0.3">
      <c r="B1933" s="187"/>
      <c r="C1933" s="186"/>
    </row>
    <row r="1934" spans="2:3" x14ac:dyDescent="0.3">
      <c r="B1934" s="187"/>
      <c r="C1934" s="186"/>
    </row>
    <row r="1935" spans="2:3" x14ac:dyDescent="0.3">
      <c r="B1935" s="187"/>
      <c r="C1935" s="186"/>
    </row>
    <row r="1936" spans="2:3" x14ac:dyDescent="0.3">
      <c r="B1936" s="187"/>
      <c r="C1936" s="186"/>
    </row>
    <row r="1937" spans="2:3" x14ac:dyDescent="0.3">
      <c r="B1937" s="187"/>
      <c r="C1937" s="186"/>
    </row>
    <row r="1938" spans="2:3" x14ac:dyDescent="0.3">
      <c r="B1938" s="187"/>
      <c r="C1938" s="186"/>
    </row>
    <row r="1939" spans="2:3" x14ac:dyDescent="0.3">
      <c r="B1939" s="187"/>
      <c r="C1939" s="186"/>
    </row>
    <row r="1940" spans="2:3" x14ac:dyDescent="0.3">
      <c r="B1940" s="187"/>
      <c r="C1940" s="186"/>
    </row>
    <row r="1941" spans="2:3" x14ac:dyDescent="0.3">
      <c r="B1941" s="187"/>
      <c r="C1941" s="186"/>
    </row>
    <row r="1942" spans="2:3" x14ac:dyDescent="0.3">
      <c r="B1942" s="187"/>
      <c r="C1942" s="186"/>
    </row>
    <row r="1943" spans="2:3" x14ac:dyDescent="0.3">
      <c r="B1943" s="187"/>
      <c r="C1943" s="186"/>
    </row>
    <row r="1944" spans="2:3" x14ac:dyDescent="0.3">
      <c r="B1944" s="187"/>
      <c r="C1944" s="186"/>
    </row>
    <row r="1945" spans="2:3" x14ac:dyDescent="0.3">
      <c r="B1945" s="187"/>
      <c r="C1945" s="186"/>
    </row>
    <row r="1946" spans="2:3" x14ac:dyDescent="0.3">
      <c r="B1946" s="187"/>
      <c r="C1946" s="186"/>
    </row>
    <row r="1947" spans="2:3" x14ac:dyDescent="0.3">
      <c r="B1947" s="187"/>
      <c r="C1947" s="186"/>
    </row>
    <row r="1948" spans="2:3" x14ac:dyDescent="0.3">
      <c r="B1948" s="187"/>
      <c r="C1948" s="186"/>
    </row>
    <row r="1949" spans="2:3" x14ac:dyDescent="0.3">
      <c r="B1949" s="187"/>
      <c r="C1949" s="186"/>
    </row>
    <row r="1950" spans="2:3" x14ac:dyDescent="0.3">
      <c r="B1950" s="187"/>
      <c r="C1950" s="186"/>
    </row>
    <row r="1951" spans="2:3" x14ac:dyDescent="0.3">
      <c r="B1951" s="187"/>
      <c r="C1951" s="186"/>
    </row>
    <row r="1952" spans="2:3" x14ac:dyDescent="0.3">
      <c r="B1952" s="187"/>
      <c r="C1952" s="186"/>
    </row>
    <row r="1953" spans="2:3" x14ac:dyDescent="0.3">
      <c r="B1953" s="187"/>
      <c r="C1953" s="186"/>
    </row>
    <row r="1954" spans="2:3" x14ac:dyDescent="0.3">
      <c r="B1954" s="187"/>
      <c r="C1954" s="186"/>
    </row>
    <row r="1955" spans="2:3" x14ac:dyDescent="0.3">
      <c r="B1955" s="187"/>
      <c r="C1955" s="186"/>
    </row>
    <row r="1956" spans="2:3" x14ac:dyDescent="0.3">
      <c r="B1956" s="187"/>
      <c r="C1956" s="186"/>
    </row>
    <row r="1957" spans="2:3" x14ac:dyDescent="0.3">
      <c r="B1957" s="187"/>
      <c r="C1957" s="186"/>
    </row>
    <row r="1958" spans="2:3" x14ac:dyDescent="0.3">
      <c r="B1958" s="187"/>
      <c r="C1958" s="186"/>
    </row>
    <row r="1959" spans="2:3" x14ac:dyDescent="0.3">
      <c r="B1959" s="187"/>
      <c r="C1959" s="186"/>
    </row>
    <row r="1960" spans="2:3" x14ac:dyDescent="0.3">
      <c r="B1960" s="187"/>
      <c r="C1960" s="186"/>
    </row>
    <row r="1961" spans="2:3" x14ac:dyDescent="0.3">
      <c r="B1961" s="187"/>
      <c r="C1961" s="186"/>
    </row>
    <row r="1962" spans="2:3" x14ac:dyDescent="0.3">
      <c r="B1962" s="187"/>
      <c r="C1962" s="186"/>
    </row>
    <row r="1963" spans="2:3" x14ac:dyDescent="0.3">
      <c r="B1963" s="187"/>
      <c r="C1963" s="186"/>
    </row>
    <row r="1964" spans="2:3" x14ac:dyDescent="0.3">
      <c r="B1964" s="187"/>
      <c r="C1964" s="186"/>
    </row>
    <row r="1965" spans="2:3" x14ac:dyDescent="0.3">
      <c r="B1965" s="187"/>
      <c r="C1965" s="186"/>
    </row>
    <row r="1966" spans="2:3" x14ac:dyDescent="0.3">
      <c r="B1966" s="187"/>
      <c r="C1966" s="186"/>
    </row>
    <row r="1967" spans="2:3" x14ac:dyDescent="0.3">
      <c r="B1967" s="187"/>
      <c r="C1967" s="186"/>
    </row>
    <row r="1968" spans="2:3" x14ac:dyDescent="0.3">
      <c r="B1968" s="187"/>
      <c r="C1968" s="186"/>
    </row>
    <row r="1969" spans="2:3" x14ac:dyDescent="0.3">
      <c r="B1969" s="187"/>
      <c r="C1969" s="186"/>
    </row>
    <row r="1970" spans="2:3" x14ac:dyDescent="0.3">
      <c r="B1970" s="187"/>
      <c r="C1970" s="186"/>
    </row>
    <row r="1971" spans="2:3" x14ac:dyDescent="0.3">
      <c r="B1971" s="187"/>
      <c r="C1971" s="186"/>
    </row>
    <row r="1972" spans="2:3" x14ac:dyDescent="0.3">
      <c r="B1972" s="187"/>
      <c r="C1972" s="186"/>
    </row>
    <row r="1973" spans="2:3" x14ac:dyDescent="0.3">
      <c r="B1973" s="187"/>
      <c r="C1973" s="186"/>
    </row>
    <row r="1974" spans="2:3" x14ac:dyDescent="0.3">
      <c r="B1974" s="187"/>
      <c r="C1974" s="186"/>
    </row>
    <row r="1975" spans="2:3" x14ac:dyDescent="0.3">
      <c r="B1975" s="187"/>
      <c r="C1975" s="186"/>
    </row>
    <row r="1976" spans="2:3" x14ac:dyDescent="0.3">
      <c r="B1976" s="187"/>
      <c r="C1976" s="186"/>
    </row>
    <row r="1977" spans="2:3" x14ac:dyDescent="0.3">
      <c r="B1977" s="187"/>
      <c r="C1977" s="186"/>
    </row>
    <row r="1978" spans="2:3" x14ac:dyDescent="0.3">
      <c r="B1978" s="187"/>
      <c r="C1978" s="186"/>
    </row>
    <row r="1979" spans="2:3" x14ac:dyDescent="0.3">
      <c r="B1979" s="187"/>
      <c r="C1979" s="186"/>
    </row>
    <row r="1980" spans="2:3" x14ac:dyDescent="0.3">
      <c r="B1980" s="187"/>
      <c r="C1980" s="186"/>
    </row>
    <row r="1981" spans="2:3" x14ac:dyDescent="0.3">
      <c r="B1981" s="187"/>
      <c r="C1981" s="186"/>
    </row>
    <row r="1982" spans="2:3" x14ac:dyDescent="0.3">
      <c r="B1982" s="187"/>
      <c r="C1982" s="186"/>
    </row>
    <row r="1983" spans="2:3" x14ac:dyDescent="0.3">
      <c r="B1983" s="187"/>
      <c r="C1983" s="186"/>
    </row>
    <row r="1984" spans="2:3" x14ac:dyDescent="0.3">
      <c r="B1984" s="187"/>
      <c r="C1984" s="186"/>
    </row>
    <row r="1985" spans="2:3" x14ac:dyDescent="0.3">
      <c r="B1985" s="187"/>
      <c r="C1985" s="186"/>
    </row>
    <row r="1986" spans="2:3" x14ac:dyDescent="0.3">
      <c r="B1986" s="187"/>
      <c r="C1986" s="186"/>
    </row>
    <row r="1987" spans="2:3" x14ac:dyDescent="0.3">
      <c r="B1987" s="187"/>
      <c r="C1987" s="186"/>
    </row>
    <row r="1988" spans="2:3" x14ac:dyDescent="0.3">
      <c r="B1988" s="187"/>
      <c r="C1988" s="186"/>
    </row>
    <row r="1989" spans="2:3" x14ac:dyDescent="0.3">
      <c r="B1989" s="187"/>
      <c r="C1989" s="186"/>
    </row>
    <row r="1990" spans="2:3" x14ac:dyDescent="0.3">
      <c r="B1990" s="187"/>
      <c r="C1990" s="186"/>
    </row>
    <row r="1991" spans="2:3" x14ac:dyDescent="0.3">
      <c r="B1991" s="187"/>
      <c r="C1991" s="186"/>
    </row>
    <row r="1992" spans="2:3" x14ac:dyDescent="0.3">
      <c r="B1992" s="187"/>
      <c r="C1992" s="186"/>
    </row>
    <row r="1993" spans="2:3" x14ac:dyDescent="0.3">
      <c r="B1993" s="187"/>
      <c r="C1993" s="186"/>
    </row>
    <row r="1994" spans="2:3" x14ac:dyDescent="0.3">
      <c r="B1994" s="187"/>
      <c r="C1994" s="186"/>
    </row>
    <row r="1995" spans="2:3" x14ac:dyDescent="0.3">
      <c r="B1995" s="187"/>
      <c r="C1995" s="186"/>
    </row>
    <row r="1996" spans="2:3" x14ac:dyDescent="0.3">
      <c r="B1996" s="187"/>
      <c r="C1996" s="186"/>
    </row>
    <row r="1997" spans="2:3" x14ac:dyDescent="0.3">
      <c r="B1997" s="187"/>
      <c r="C1997" s="186"/>
    </row>
    <row r="1998" spans="2:3" x14ac:dyDescent="0.3">
      <c r="B1998" s="187"/>
      <c r="C1998" s="186"/>
    </row>
    <row r="1999" spans="2:3" x14ac:dyDescent="0.3">
      <c r="B1999" s="187"/>
      <c r="C1999" s="186"/>
    </row>
    <row r="2000" spans="2:3" x14ac:dyDescent="0.3">
      <c r="B2000" s="187"/>
      <c r="C2000" s="186"/>
    </row>
    <row r="2001" spans="2:3" x14ac:dyDescent="0.3">
      <c r="B2001" s="187"/>
      <c r="C2001" s="186"/>
    </row>
    <row r="2002" spans="2:3" x14ac:dyDescent="0.3">
      <c r="B2002" s="187"/>
      <c r="C2002" s="186"/>
    </row>
    <row r="2003" spans="2:3" x14ac:dyDescent="0.3">
      <c r="B2003" s="187"/>
      <c r="C2003" s="186"/>
    </row>
    <row r="2004" spans="2:3" x14ac:dyDescent="0.3">
      <c r="B2004" s="187"/>
      <c r="C2004" s="186"/>
    </row>
    <row r="2005" spans="2:3" x14ac:dyDescent="0.3">
      <c r="B2005" s="187"/>
      <c r="C2005" s="186"/>
    </row>
    <row r="2006" spans="2:3" x14ac:dyDescent="0.3">
      <c r="B2006" s="187"/>
      <c r="C2006" s="186"/>
    </row>
    <row r="2007" spans="2:3" x14ac:dyDescent="0.3">
      <c r="B2007" s="187"/>
      <c r="C2007" s="186"/>
    </row>
    <row r="2008" spans="2:3" x14ac:dyDescent="0.3">
      <c r="B2008" s="187"/>
      <c r="C2008" s="186"/>
    </row>
    <row r="2009" spans="2:3" x14ac:dyDescent="0.3">
      <c r="B2009" s="187"/>
      <c r="C2009" s="186"/>
    </row>
    <row r="2010" spans="2:3" x14ac:dyDescent="0.3">
      <c r="B2010" s="187"/>
      <c r="C2010" s="186"/>
    </row>
    <row r="2011" spans="2:3" x14ac:dyDescent="0.3">
      <c r="B2011" s="187"/>
      <c r="C2011" s="186"/>
    </row>
    <row r="2012" spans="2:3" x14ac:dyDescent="0.3">
      <c r="B2012" s="187"/>
      <c r="C2012" s="186"/>
    </row>
    <row r="2013" spans="2:3" x14ac:dyDescent="0.3">
      <c r="B2013" s="187"/>
      <c r="C2013" s="186"/>
    </row>
    <row r="2014" spans="2:3" x14ac:dyDescent="0.3">
      <c r="B2014" s="187"/>
      <c r="C2014" s="186"/>
    </row>
    <row r="2015" spans="2:3" x14ac:dyDescent="0.3">
      <c r="B2015" s="187"/>
      <c r="C2015" s="186"/>
    </row>
    <row r="2016" spans="2:3" x14ac:dyDescent="0.3">
      <c r="B2016" s="187"/>
      <c r="C2016" s="186"/>
    </row>
    <row r="2017" spans="2:3" x14ac:dyDescent="0.3">
      <c r="B2017" s="187"/>
      <c r="C2017" s="186"/>
    </row>
    <row r="2018" spans="2:3" x14ac:dyDescent="0.3">
      <c r="B2018" s="187"/>
      <c r="C2018" s="186"/>
    </row>
    <row r="2019" spans="2:3" x14ac:dyDescent="0.3">
      <c r="B2019" s="187"/>
      <c r="C2019" s="186"/>
    </row>
    <row r="2020" spans="2:3" x14ac:dyDescent="0.3">
      <c r="B2020" s="187"/>
      <c r="C2020" s="186"/>
    </row>
    <row r="2021" spans="2:3" x14ac:dyDescent="0.3">
      <c r="B2021" s="187"/>
      <c r="C2021" s="186"/>
    </row>
    <row r="2022" spans="2:3" x14ac:dyDescent="0.3">
      <c r="B2022" s="187"/>
      <c r="C2022" s="186"/>
    </row>
    <row r="2023" spans="2:3" x14ac:dyDescent="0.3">
      <c r="B2023" s="187"/>
      <c r="C2023" s="186"/>
    </row>
    <row r="2024" spans="2:3" x14ac:dyDescent="0.3">
      <c r="B2024" s="187"/>
      <c r="C2024" s="186"/>
    </row>
    <row r="2025" spans="2:3" x14ac:dyDescent="0.3">
      <c r="B2025" s="187"/>
      <c r="C2025" s="186"/>
    </row>
    <row r="2026" spans="2:3" x14ac:dyDescent="0.3">
      <c r="B2026" s="187"/>
      <c r="C2026" s="186"/>
    </row>
    <row r="2027" spans="2:3" x14ac:dyDescent="0.3">
      <c r="B2027" s="187"/>
      <c r="C2027" s="186"/>
    </row>
    <row r="2028" spans="2:3" x14ac:dyDescent="0.3">
      <c r="B2028" s="187"/>
      <c r="C2028" s="186"/>
    </row>
    <row r="2029" spans="2:3" x14ac:dyDescent="0.3">
      <c r="B2029" s="187"/>
      <c r="C2029" s="186"/>
    </row>
    <row r="2030" spans="2:3" x14ac:dyDescent="0.3">
      <c r="B2030" s="187"/>
      <c r="C2030" s="186"/>
    </row>
    <row r="2031" spans="2:3" x14ac:dyDescent="0.3">
      <c r="B2031" s="187"/>
      <c r="C2031" s="186"/>
    </row>
    <row r="2032" spans="2:3" x14ac:dyDescent="0.3">
      <c r="B2032" s="187"/>
      <c r="C2032" s="186"/>
    </row>
    <row r="2033" spans="2:3" x14ac:dyDescent="0.3">
      <c r="B2033" s="187"/>
      <c r="C2033" s="186"/>
    </row>
    <row r="2034" spans="2:3" x14ac:dyDescent="0.3">
      <c r="B2034" s="187"/>
      <c r="C2034" s="186"/>
    </row>
    <row r="2035" spans="2:3" x14ac:dyDescent="0.3">
      <c r="B2035" s="187"/>
      <c r="C2035" s="186"/>
    </row>
    <row r="2036" spans="2:3" x14ac:dyDescent="0.3">
      <c r="B2036" s="187"/>
      <c r="C2036" s="186"/>
    </row>
    <row r="2037" spans="2:3" x14ac:dyDescent="0.3">
      <c r="B2037" s="187"/>
      <c r="C2037" s="186"/>
    </row>
    <row r="2038" spans="2:3" x14ac:dyDescent="0.3">
      <c r="B2038" s="187"/>
      <c r="C2038" s="186"/>
    </row>
    <row r="2039" spans="2:3" x14ac:dyDescent="0.3">
      <c r="B2039" s="187"/>
      <c r="C2039" s="186"/>
    </row>
    <row r="2040" spans="2:3" x14ac:dyDescent="0.3">
      <c r="B2040" s="187"/>
      <c r="C2040" s="186"/>
    </row>
    <row r="2041" spans="2:3" x14ac:dyDescent="0.3">
      <c r="B2041" s="187"/>
      <c r="C2041" s="186"/>
    </row>
    <row r="2042" spans="2:3" x14ac:dyDescent="0.3">
      <c r="B2042" s="187"/>
      <c r="C2042" s="186"/>
    </row>
    <row r="2043" spans="2:3" x14ac:dyDescent="0.3">
      <c r="B2043" s="187"/>
      <c r="C2043" s="186"/>
    </row>
    <row r="2044" spans="2:3" x14ac:dyDescent="0.3">
      <c r="B2044" s="187"/>
      <c r="C2044" s="186"/>
    </row>
    <row r="2045" spans="2:3" x14ac:dyDescent="0.3">
      <c r="B2045" s="187"/>
      <c r="C2045" s="186"/>
    </row>
    <row r="2046" spans="2:3" x14ac:dyDescent="0.3">
      <c r="B2046" s="187"/>
      <c r="C2046" s="186"/>
    </row>
    <row r="2047" spans="2:3" x14ac:dyDescent="0.3">
      <c r="B2047" s="187"/>
      <c r="C2047" s="186"/>
    </row>
    <row r="2048" spans="2:3" x14ac:dyDescent="0.3">
      <c r="B2048" s="187"/>
      <c r="C2048" s="186"/>
    </row>
    <row r="2049" spans="2:3" x14ac:dyDescent="0.3">
      <c r="B2049" s="187"/>
      <c r="C2049" s="186"/>
    </row>
    <row r="2050" spans="2:3" x14ac:dyDescent="0.3">
      <c r="B2050" s="187"/>
      <c r="C2050" s="186"/>
    </row>
    <row r="2051" spans="2:3" x14ac:dyDescent="0.3">
      <c r="B2051" s="187"/>
      <c r="C2051" s="186"/>
    </row>
    <row r="2052" spans="2:3" x14ac:dyDescent="0.3">
      <c r="B2052" s="187"/>
      <c r="C2052" s="186"/>
    </row>
    <row r="2053" spans="2:3" x14ac:dyDescent="0.3">
      <c r="B2053" s="187"/>
      <c r="C2053" s="186"/>
    </row>
    <row r="2054" spans="2:3" x14ac:dyDescent="0.3">
      <c r="B2054" s="187"/>
      <c r="C2054" s="186"/>
    </row>
    <row r="2055" spans="2:3" x14ac:dyDescent="0.3">
      <c r="B2055" s="187"/>
      <c r="C2055" s="186"/>
    </row>
    <row r="2056" spans="2:3" x14ac:dyDescent="0.3">
      <c r="B2056" s="187"/>
      <c r="C2056" s="186"/>
    </row>
    <row r="2057" spans="2:3" x14ac:dyDescent="0.3">
      <c r="B2057" s="187"/>
      <c r="C2057" s="186"/>
    </row>
    <row r="2058" spans="2:3" x14ac:dyDescent="0.3">
      <c r="B2058" s="187"/>
      <c r="C2058" s="186"/>
    </row>
    <row r="2059" spans="2:3" x14ac:dyDescent="0.3">
      <c r="B2059" s="187"/>
      <c r="C2059" s="186"/>
    </row>
    <row r="2060" spans="2:3" x14ac:dyDescent="0.3">
      <c r="B2060" s="187"/>
      <c r="C2060" s="186"/>
    </row>
    <row r="2061" spans="2:3" x14ac:dyDescent="0.3">
      <c r="B2061" s="187"/>
      <c r="C2061" s="186"/>
    </row>
    <row r="2062" spans="2:3" x14ac:dyDescent="0.3">
      <c r="B2062" s="187"/>
      <c r="C2062" s="186"/>
    </row>
    <row r="2063" spans="2:3" x14ac:dyDescent="0.3">
      <c r="B2063" s="187"/>
      <c r="C2063" s="186"/>
    </row>
    <row r="2064" spans="2:3" x14ac:dyDescent="0.3">
      <c r="B2064" s="187"/>
      <c r="C2064" s="186"/>
    </row>
    <row r="2065" spans="2:3" x14ac:dyDescent="0.3">
      <c r="B2065" s="187"/>
      <c r="C2065" s="186"/>
    </row>
    <row r="2066" spans="2:3" x14ac:dyDescent="0.3">
      <c r="B2066" s="187"/>
      <c r="C2066" s="186"/>
    </row>
    <row r="2067" spans="2:3" x14ac:dyDescent="0.3">
      <c r="B2067" s="187"/>
      <c r="C2067" s="186"/>
    </row>
    <row r="2068" spans="2:3" x14ac:dyDescent="0.3">
      <c r="B2068" s="187"/>
      <c r="C2068" s="186"/>
    </row>
    <row r="2069" spans="2:3" x14ac:dyDescent="0.3">
      <c r="B2069" s="187"/>
      <c r="C2069" s="186"/>
    </row>
    <row r="2070" spans="2:3" x14ac:dyDescent="0.3">
      <c r="B2070" s="187"/>
      <c r="C2070" s="186"/>
    </row>
    <row r="2071" spans="2:3" x14ac:dyDescent="0.3">
      <c r="B2071" s="187"/>
      <c r="C2071" s="186"/>
    </row>
    <row r="2072" spans="2:3" x14ac:dyDescent="0.3">
      <c r="B2072" s="187"/>
      <c r="C2072" s="186"/>
    </row>
    <row r="2073" spans="2:3" x14ac:dyDescent="0.3">
      <c r="B2073" s="187"/>
      <c r="C2073" s="186"/>
    </row>
    <row r="2074" spans="2:3" x14ac:dyDescent="0.3">
      <c r="B2074" s="187"/>
      <c r="C2074" s="186"/>
    </row>
    <row r="2075" spans="2:3" x14ac:dyDescent="0.3">
      <c r="B2075" s="187"/>
      <c r="C2075" s="186"/>
    </row>
    <row r="2076" spans="2:3" x14ac:dyDescent="0.3">
      <c r="B2076" s="187"/>
      <c r="C2076" s="186"/>
    </row>
    <row r="2077" spans="2:3" x14ac:dyDescent="0.3">
      <c r="B2077" s="187"/>
      <c r="C2077" s="186"/>
    </row>
    <row r="2078" spans="2:3" x14ac:dyDescent="0.3">
      <c r="B2078" s="187"/>
      <c r="C2078" s="186"/>
    </row>
    <row r="2079" spans="2:3" x14ac:dyDescent="0.3">
      <c r="B2079" s="187"/>
      <c r="C2079" s="186"/>
    </row>
    <row r="2080" spans="2:3" x14ac:dyDescent="0.3">
      <c r="B2080" s="187"/>
      <c r="C2080" s="186"/>
    </row>
    <row r="2081" spans="2:3" x14ac:dyDescent="0.3">
      <c r="B2081" s="187"/>
      <c r="C2081" s="186"/>
    </row>
    <row r="2082" spans="2:3" x14ac:dyDescent="0.3">
      <c r="B2082" s="187"/>
      <c r="C2082" s="186"/>
    </row>
    <row r="2083" spans="2:3" x14ac:dyDescent="0.3">
      <c r="B2083" s="187"/>
      <c r="C2083" s="186"/>
    </row>
    <row r="2084" spans="2:3" x14ac:dyDescent="0.3">
      <c r="B2084" s="187"/>
      <c r="C2084" s="186"/>
    </row>
    <row r="2085" spans="2:3" x14ac:dyDescent="0.3">
      <c r="B2085" s="187"/>
      <c r="C2085" s="186"/>
    </row>
    <row r="2086" spans="2:3" x14ac:dyDescent="0.3">
      <c r="B2086" s="187"/>
      <c r="C2086" s="186"/>
    </row>
    <row r="2087" spans="2:3" x14ac:dyDescent="0.3">
      <c r="B2087" s="187"/>
      <c r="C2087" s="186"/>
    </row>
    <row r="2088" spans="2:3" x14ac:dyDescent="0.3">
      <c r="B2088" s="187"/>
      <c r="C2088" s="186"/>
    </row>
    <row r="2089" spans="2:3" x14ac:dyDescent="0.3">
      <c r="B2089" s="187"/>
      <c r="C2089" s="186"/>
    </row>
    <row r="2090" spans="2:3" x14ac:dyDescent="0.3">
      <c r="B2090" s="187"/>
      <c r="C2090" s="186"/>
    </row>
    <row r="2091" spans="2:3" x14ac:dyDescent="0.3">
      <c r="B2091" s="187"/>
      <c r="C2091" s="186"/>
    </row>
    <row r="2092" spans="2:3" x14ac:dyDescent="0.3">
      <c r="B2092" s="187"/>
      <c r="C2092" s="186"/>
    </row>
    <row r="2093" spans="2:3" x14ac:dyDescent="0.3">
      <c r="B2093" s="187"/>
      <c r="C2093" s="186"/>
    </row>
    <row r="2094" spans="2:3" x14ac:dyDescent="0.3">
      <c r="B2094" s="187"/>
      <c r="C2094" s="186"/>
    </row>
    <row r="2095" spans="2:3" x14ac:dyDescent="0.3">
      <c r="B2095" s="187"/>
      <c r="C2095" s="186"/>
    </row>
    <row r="2096" spans="2:3" x14ac:dyDescent="0.3">
      <c r="B2096" s="187"/>
      <c r="C2096" s="186"/>
    </row>
    <row r="2097" spans="2:3" x14ac:dyDescent="0.3">
      <c r="B2097" s="187"/>
      <c r="C2097" s="186"/>
    </row>
    <row r="2098" spans="2:3" x14ac:dyDescent="0.3">
      <c r="B2098" s="187"/>
      <c r="C2098" s="186"/>
    </row>
    <row r="2099" spans="2:3" x14ac:dyDescent="0.3">
      <c r="B2099" s="187"/>
      <c r="C2099" s="186"/>
    </row>
    <row r="2100" spans="2:3" x14ac:dyDescent="0.3">
      <c r="B2100" s="187"/>
      <c r="C2100" s="186"/>
    </row>
    <row r="2101" spans="2:3" x14ac:dyDescent="0.3">
      <c r="B2101" s="187"/>
      <c r="C2101" s="186"/>
    </row>
    <row r="2102" spans="2:3" x14ac:dyDescent="0.3">
      <c r="B2102" s="187"/>
      <c r="C2102" s="186"/>
    </row>
    <row r="2103" spans="2:3" x14ac:dyDescent="0.3">
      <c r="B2103" s="187"/>
      <c r="C2103" s="186"/>
    </row>
    <row r="2104" spans="2:3" x14ac:dyDescent="0.3">
      <c r="B2104" s="187"/>
      <c r="C2104" s="186"/>
    </row>
    <row r="2105" spans="2:3" x14ac:dyDescent="0.3">
      <c r="B2105" s="187"/>
      <c r="C2105" s="186"/>
    </row>
    <row r="2106" spans="2:3" x14ac:dyDescent="0.3">
      <c r="B2106" s="187"/>
      <c r="C2106" s="186"/>
    </row>
    <row r="2107" spans="2:3" x14ac:dyDescent="0.3">
      <c r="B2107" s="187"/>
      <c r="C2107" s="186"/>
    </row>
    <row r="2108" spans="2:3" x14ac:dyDescent="0.3">
      <c r="B2108" s="187"/>
      <c r="C2108" s="186"/>
    </row>
    <row r="2109" spans="2:3" x14ac:dyDescent="0.3">
      <c r="B2109" s="187"/>
      <c r="C2109" s="186"/>
    </row>
    <row r="2110" spans="2:3" x14ac:dyDescent="0.3">
      <c r="B2110" s="187"/>
      <c r="C2110" s="186"/>
    </row>
    <row r="2111" spans="2:3" x14ac:dyDescent="0.3">
      <c r="B2111" s="187"/>
      <c r="C2111" s="186"/>
    </row>
    <row r="2112" spans="2:3" x14ac:dyDescent="0.3">
      <c r="B2112" s="187"/>
      <c r="C2112" s="186"/>
    </row>
    <row r="2113" spans="2:3" x14ac:dyDescent="0.3">
      <c r="B2113" s="187"/>
      <c r="C2113" s="186"/>
    </row>
    <row r="2114" spans="2:3" x14ac:dyDescent="0.3">
      <c r="B2114" s="187"/>
      <c r="C2114" s="186"/>
    </row>
    <row r="2115" spans="2:3" x14ac:dyDescent="0.3">
      <c r="B2115" s="187"/>
      <c r="C2115" s="186"/>
    </row>
    <row r="2116" spans="2:3" x14ac:dyDescent="0.3">
      <c r="B2116" s="187"/>
      <c r="C2116" s="186"/>
    </row>
    <row r="2117" spans="2:3" x14ac:dyDescent="0.3">
      <c r="B2117" s="187"/>
      <c r="C2117" s="186"/>
    </row>
    <row r="2118" spans="2:3" x14ac:dyDescent="0.3">
      <c r="B2118" s="187"/>
      <c r="C2118" s="186"/>
    </row>
    <row r="2119" spans="2:3" x14ac:dyDescent="0.3">
      <c r="B2119" s="187"/>
      <c r="C2119" s="186"/>
    </row>
    <row r="2120" spans="2:3" x14ac:dyDescent="0.3">
      <c r="B2120" s="187"/>
      <c r="C2120" s="186"/>
    </row>
    <row r="2121" spans="2:3" x14ac:dyDescent="0.3">
      <c r="B2121" s="187"/>
      <c r="C2121" s="186"/>
    </row>
    <row r="2122" spans="2:3" x14ac:dyDescent="0.3">
      <c r="B2122" s="187"/>
      <c r="C2122" s="186"/>
    </row>
    <row r="2123" spans="2:3" x14ac:dyDescent="0.3">
      <c r="B2123" s="187"/>
      <c r="C2123" s="186"/>
    </row>
    <row r="2124" spans="2:3" x14ac:dyDescent="0.3">
      <c r="B2124" s="187"/>
      <c r="C2124" s="186"/>
    </row>
    <row r="2125" spans="2:3" x14ac:dyDescent="0.3">
      <c r="B2125" s="187"/>
      <c r="C2125" s="186"/>
    </row>
    <row r="2126" spans="2:3" x14ac:dyDescent="0.3">
      <c r="B2126" s="187"/>
      <c r="C2126" s="186"/>
    </row>
    <row r="2127" spans="2:3" x14ac:dyDescent="0.3">
      <c r="B2127" s="187"/>
      <c r="C2127" s="186"/>
    </row>
    <row r="2128" spans="2:3" x14ac:dyDescent="0.3">
      <c r="B2128" s="187"/>
      <c r="C2128" s="186"/>
    </row>
    <row r="2129" spans="2:3" x14ac:dyDescent="0.3">
      <c r="B2129" s="187"/>
      <c r="C2129" s="186"/>
    </row>
    <row r="2130" spans="2:3" x14ac:dyDescent="0.3">
      <c r="B2130" s="187"/>
      <c r="C2130" s="186"/>
    </row>
    <row r="2131" spans="2:3" x14ac:dyDescent="0.3">
      <c r="B2131" s="187"/>
      <c r="C2131" s="186"/>
    </row>
    <row r="2132" spans="2:3" x14ac:dyDescent="0.3">
      <c r="B2132" s="187"/>
      <c r="C2132" s="186"/>
    </row>
    <row r="2133" spans="2:3" x14ac:dyDescent="0.3">
      <c r="B2133" s="187"/>
      <c r="C2133" s="186"/>
    </row>
    <row r="2134" spans="2:3" x14ac:dyDescent="0.3">
      <c r="B2134" s="187"/>
      <c r="C2134" s="186"/>
    </row>
    <row r="2135" spans="2:3" x14ac:dyDescent="0.3">
      <c r="B2135" s="187"/>
      <c r="C2135" s="186"/>
    </row>
    <row r="2136" spans="2:3" x14ac:dyDescent="0.3">
      <c r="B2136" s="187"/>
      <c r="C2136" s="186"/>
    </row>
    <row r="2137" spans="2:3" x14ac:dyDescent="0.3">
      <c r="B2137" s="187"/>
      <c r="C2137" s="186"/>
    </row>
    <row r="2138" spans="2:3" x14ac:dyDescent="0.3">
      <c r="B2138" s="187"/>
      <c r="C2138" s="186"/>
    </row>
    <row r="2139" spans="2:3" x14ac:dyDescent="0.3">
      <c r="B2139" s="187"/>
      <c r="C2139" s="186"/>
    </row>
    <row r="2140" spans="2:3" x14ac:dyDescent="0.3">
      <c r="B2140" s="187"/>
      <c r="C2140" s="186"/>
    </row>
    <row r="2141" spans="2:3" x14ac:dyDescent="0.3">
      <c r="B2141" s="187"/>
      <c r="C2141" s="186"/>
    </row>
    <row r="2142" spans="2:3" x14ac:dyDescent="0.3">
      <c r="B2142" s="187"/>
      <c r="C2142" s="186"/>
    </row>
    <row r="2143" spans="2:3" x14ac:dyDescent="0.3">
      <c r="B2143" s="187"/>
      <c r="C2143" s="186"/>
    </row>
    <row r="2144" spans="2:3" x14ac:dyDescent="0.3">
      <c r="B2144" s="187"/>
      <c r="C2144" s="186"/>
    </row>
    <row r="2145" spans="2:3" x14ac:dyDescent="0.3">
      <c r="B2145" s="187"/>
      <c r="C2145" s="186"/>
    </row>
    <row r="2146" spans="2:3" x14ac:dyDescent="0.3">
      <c r="B2146" s="187"/>
      <c r="C2146" s="186"/>
    </row>
    <row r="2147" spans="2:3" x14ac:dyDescent="0.3">
      <c r="B2147" s="187"/>
      <c r="C2147" s="186"/>
    </row>
    <row r="2148" spans="2:3" x14ac:dyDescent="0.3">
      <c r="B2148" s="187"/>
      <c r="C2148" s="186"/>
    </row>
    <row r="2149" spans="2:3" x14ac:dyDescent="0.3">
      <c r="B2149" s="187"/>
      <c r="C2149" s="186"/>
    </row>
    <row r="2150" spans="2:3" x14ac:dyDescent="0.3">
      <c r="B2150" s="187"/>
      <c r="C2150" s="186"/>
    </row>
    <row r="2151" spans="2:3" x14ac:dyDescent="0.3">
      <c r="B2151" s="187"/>
      <c r="C2151" s="186"/>
    </row>
    <row r="2152" spans="2:3" x14ac:dyDescent="0.3">
      <c r="B2152" s="187"/>
      <c r="C2152" s="186"/>
    </row>
    <row r="2153" spans="2:3" x14ac:dyDescent="0.3">
      <c r="B2153" s="187"/>
      <c r="C2153" s="186"/>
    </row>
    <row r="2154" spans="2:3" x14ac:dyDescent="0.3">
      <c r="B2154" s="187"/>
      <c r="C2154" s="186"/>
    </row>
    <row r="2155" spans="2:3" x14ac:dyDescent="0.3">
      <c r="B2155" s="187"/>
      <c r="C2155" s="186"/>
    </row>
    <row r="2156" spans="2:3" x14ac:dyDescent="0.3">
      <c r="B2156" s="187"/>
      <c r="C2156" s="186"/>
    </row>
    <row r="2157" spans="2:3" x14ac:dyDescent="0.3">
      <c r="B2157" s="187"/>
      <c r="C2157" s="186"/>
    </row>
    <row r="2158" spans="2:3" x14ac:dyDescent="0.3">
      <c r="B2158" s="187"/>
      <c r="C2158" s="186"/>
    </row>
    <row r="2159" spans="2:3" x14ac:dyDescent="0.3">
      <c r="B2159" s="187"/>
      <c r="C2159" s="186"/>
    </row>
    <row r="2160" spans="2:3" x14ac:dyDescent="0.3">
      <c r="B2160" s="187"/>
      <c r="C2160" s="186"/>
    </row>
    <row r="2161" spans="2:3" x14ac:dyDescent="0.3">
      <c r="B2161" s="187"/>
      <c r="C2161" s="186"/>
    </row>
    <row r="2162" spans="2:3" x14ac:dyDescent="0.3">
      <c r="B2162" s="187"/>
      <c r="C2162" s="186"/>
    </row>
    <row r="2163" spans="2:3" x14ac:dyDescent="0.3">
      <c r="B2163" s="187"/>
      <c r="C2163" s="186"/>
    </row>
    <row r="2164" spans="2:3" x14ac:dyDescent="0.3">
      <c r="B2164" s="187"/>
      <c r="C2164" s="186"/>
    </row>
    <row r="2165" spans="2:3" x14ac:dyDescent="0.3">
      <c r="B2165" s="187"/>
      <c r="C2165" s="186"/>
    </row>
    <row r="2166" spans="2:3" x14ac:dyDescent="0.3">
      <c r="B2166" s="187"/>
      <c r="C2166" s="186"/>
    </row>
    <row r="2167" spans="2:3" x14ac:dyDescent="0.3">
      <c r="B2167" s="187"/>
      <c r="C2167" s="186"/>
    </row>
    <row r="2168" spans="2:3" x14ac:dyDescent="0.3">
      <c r="B2168" s="187"/>
      <c r="C2168" s="186"/>
    </row>
    <row r="2169" spans="2:3" x14ac:dyDescent="0.3">
      <c r="B2169" s="187"/>
      <c r="C2169" s="186"/>
    </row>
    <row r="2170" spans="2:3" x14ac:dyDescent="0.3">
      <c r="B2170" s="187"/>
      <c r="C2170" s="186"/>
    </row>
    <row r="2171" spans="2:3" x14ac:dyDescent="0.3">
      <c r="B2171" s="187"/>
      <c r="C2171" s="186"/>
    </row>
    <row r="2172" spans="2:3" x14ac:dyDescent="0.3">
      <c r="B2172" s="187"/>
      <c r="C2172" s="186"/>
    </row>
    <row r="2173" spans="2:3" x14ac:dyDescent="0.3">
      <c r="B2173" s="187"/>
      <c r="C2173" s="186"/>
    </row>
    <row r="2174" spans="2:3" x14ac:dyDescent="0.3">
      <c r="B2174" s="187"/>
      <c r="C2174" s="186"/>
    </row>
    <row r="2175" spans="2:3" x14ac:dyDescent="0.3">
      <c r="B2175" s="187"/>
      <c r="C2175" s="186"/>
    </row>
    <row r="2176" spans="2:3" x14ac:dyDescent="0.3">
      <c r="B2176" s="187"/>
      <c r="C2176" s="186"/>
    </row>
    <row r="2177" spans="2:3" x14ac:dyDescent="0.3">
      <c r="B2177" s="187"/>
      <c r="C2177" s="186"/>
    </row>
    <row r="2178" spans="2:3" x14ac:dyDescent="0.3">
      <c r="B2178" s="187"/>
      <c r="C2178" s="186"/>
    </row>
    <row r="2179" spans="2:3" x14ac:dyDescent="0.3">
      <c r="B2179" s="187"/>
      <c r="C2179" s="186"/>
    </row>
    <row r="2180" spans="2:3" x14ac:dyDescent="0.3">
      <c r="B2180" s="187"/>
      <c r="C2180" s="186"/>
    </row>
    <row r="2181" spans="2:3" x14ac:dyDescent="0.3">
      <c r="B2181" s="187"/>
      <c r="C2181" s="186"/>
    </row>
    <row r="2182" spans="2:3" x14ac:dyDescent="0.3">
      <c r="B2182" s="187"/>
      <c r="C2182" s="186"/>
    </row>
    <row r="2183" spans="2:3" x14ac:dyDescent="0.3">
      <c r="B2183" s="187"/>
      <c r="C2183" s="186"/>
    </row>
    <row r="2184" spans="2:3" x14ac:dyDescent="0.3">
      <c r="B2184" s="187"/>
      <c r="C2184" s="186"/>
    </row>
    <row r="2185" spans="2:3" x14ac:dyDescent="0.3">
      <c r="B2185" s="187"/>
      <c r="C2185" s="186"/>
    </row>
    <row r="2186" spans="2:3" x14ac:dyDescent="0.3">
      <c r="B2186" s="187"/>
      <c r="C2186" s="186"/>
    </row>
    <row r="2187" spans="2:3" x14ac:dyDescent="0.3">
      <c r="B2187" s="187"/>
      <c r="C2187" s="186"/>
    </row>
    <row r="2188" spans="2:3" x14ac:dyDescent="0.3">
      <c r="B2188" s="187"/>
      <c r="C2188" s="186"/>
    </row>
    <row r="2189" spans="2:3" x14ac:dyDescent="0.3">
      <c r="B2189" s="187"/>
      <c r="C2189" s="186"/>
    </row>
    <row r="2190" spans="2:3" x14ac:dyDescent="0.3">
      <c r="B2190" s="187"/>
      <c r="C2190" s="186"/>
    </row>
    <row r="2191" spans="2:3" x14ac:dyDescent="0.3">
      <c r="B2191" s="187"/>
      <c r="C2191" s="186"/>
    </row>
    <row r="2192" spans="2:3" x14ac:dyDescent="0.3">
      <c r="B2192" s="187"/>
      <c r="C2192" s="186"/>
    </row>
    <row r="2193" spans="2:3" x14ac:dyDescent="0.3">
      <c r="B2193" s="187"/>
      <c r="C2193" s="186"/>
    </row>
    <row r="2194" spans="2:3" x14ac:dyDescent="0.3">
      <c r="B2194" s="187"/>
      <c r="C2194" s="186"/>
    </row>
    <row r="2195" spans="2:3" x14ac:dyDescent="0.3">
      <c r="B2195" s="187"/>
      <c r="C2195" s="186"/>
    </row>
    <row r="2196" spans="2:3" x14ac:dyDescent="0.3">
      <c r="B2196" s="187"/>
      <c r="C2196" s="186"/>
    </row>
    <row r="2197" spans="2:3" x14ac:dyDescent="0.3">
      <c r="B2197" s="187"/>
      <c r="C2197" s="186"/>
    </row>
    <row r="2198" spans="2:3" x14ac:dyDescent="0.3">
      <c r="B2198" s="187"/>
      <c r="C2198" s="186"/>
    </row>
    <row r="2199" spans="2:3" x14ac:dyDescent="0.3">
      <c r="B2199" s="187"/>
      <c r="C2199" s="186"/>
    </row>
    <row r="2200" spans="2:3" x14ac:dyDescent="0.3">
      <c r="B2200" s="187"/>
      <c r="C2200" s="186"/>
    </row>
    <row r="2201" spans="2:3" x14ac:dyDescent="0.3">
      <c r="B2201" s="187"/>
      <c r="C2201" s="186"/>
    </row>
    <row r="2202" spans="2:3" x14ac:dyDescent="0.3">
      <c r="B2202" s="187"/>
      <c r="C2202" s="186"/>
    </row>
    <row r="2203" spans="2:3" x14ac:dyDescent="0.3">
      <c r="B2203" s="187"/>
      <c r="C2203" s="186"/>
    </row>
    <row r="2204" spans="2:3" x14ac:dyDescent="0.3">
      <c r="B2204" s="187"/>
      <c r="C2204" s="186"/>
    </row>
    <row r="2205" spans="2:3" x14ac:dyDescent="0.3">
      <c r="B2205" s="187"/>
      <c r="C2205" s="186"/>
    </row>
    <row r="2206" spans="2:3" x14ac:dyDescent="0.3">
      <c r="B2206" s="187"/>
      <c r="C2206" s="186"/>
    </row>
    <row r="2207" spans="2:3" x14ac:dyDescent="0.3">
      <c r="B2207" s="187"/>
      <c r="C2207" s="186"/>
    </row>
    <row r="2208" spans="2:3" x14ac:dyDescent="0.3">
      <c r="B2208" s="187"/>
      <c r="C2208" s="186"/>
    </row>
    <row r="2209" spans="2:3" x14ac:dyDescent="0.3">
      <c r="B2209" s="187"/>
      <c r="C2209" s="186"/>
    </row>
    <row r="2210" spans="2:3" x14ac:dyDescent="0.3">
      <c r="B2210" s="187"/>
      <c r="C2210" s="186"/>
    </row>
    <row r="2211" spans="2:3" x14ac:dyDescent="0.3">
      <c r="B2211" s="187"/>
      <c r="C2211" s="186"/>
    </row>
    <row r="2212" spans="2:3" x14ac:dyDescent="0.3">
      <c r="B2212" s="187"/>
      <c r="C2212" s="186"/>
    </row>
    <row r="2213" spans="2:3" x14ac:dyDescent="0.3">
      <c r="B2213" s="187"/>
      <c r="C2213" s="186"/>
    </row>
    <row r="2214" spans="2:3" x14ac:dyDescent="0.3">
      <c r="B2214" s="187"/>
      <c r="C2214" s="186"/>
    </row>
    <row r="2215" spans="2:3" x14ac:dyDescent="0.3">
      <c r="B2215" s="187"/>
      <c r="C2215" s="186"/>
    </row>
    <row r="2216" spans="2:3" x14ac:dyDescent="0.3">
      <c r="B2216" s="187"/>
      <c r="C2216" s="186"/>
    </row>
    <row r="2217" spans="2:3" x14ac:dyDescent="0.3">
      <c r="B2217" s="187"/>
      <c r="C2217" s="186"/>
    </row>
    <row r="2218" spans="2:3" x14ac:dyDescent="0.3">
      <c r="B2218" s="187"/>
      <c r="C2218" s="186"/>
    </row>
    <row r="2219" spans="2:3" x14ac:dyDescent="0.3">
      <c r="B2219" s="187"/>
      <c r="C2219" s="186"/>
    </row>
    <row r="2220" spans="2:3" x14ac:dyDescent="0.3">
      <c r="B2220" s="187"/>
      <c r="C2220" s="186"/>
    </row>
    <row r="2221" spans="2:3" x14ac:dyDescent="0.3">
      <c r="B2221" s="187"/>
      <c r="C2221" s="186"/>
    </row>
    <row r="2222" spans="2:3" x14ac:dyDescent="0.3">
      <c r="B2222" s="187"/>
      <c r="C2222" s="186"/>
    </row>
    <row r="2223" spans="2:3" x14ac:dyDescent="0.3">
      <c r="B2223" s="187"/>
      <c r="C2223" s="186"/>
    </row>
    <row r="2224" spans="2:3" x14ac:dyDescent="0.3">
      <c r="B2224" s="187"/>
      <c r="C2224" s="186"/>
    </row>
    <row r="2225" spans="2:3" x14ac:dyDescent="0.3">
      <c r="B2225" s="187"/>
      <c r="C2225" s="186"/>
    </row>
    <row r="2226" spans="2:3" x14ac:dyDescent="0.3">
      <c r="B2226" s="187"/>
      <c r="C2226" s="186"/>
    </row>
    <row r="2227" spans="2:3" x14ac:dyDescent="0.3">
      <c r="B2227" s="187"/>
      <c r="C2227" s="186"/>
    </row>
    <row r="2228" spans="2:3" x14ac:dyDescent="0.3">
      <c r="B2228" s="187"/>
      <c r="C2228" s="186"/>
    </row>
    <row r="2229" spans="2:3" x14ac:dyDescent="0.3">
      <c r="B2229" s="187"/>
      <c r="C2229" s="186"/>
    </row>
    <row r="2230" spans="2:3" x14ac:dyDescent="0.3">
      <c r="B2230" s="187"/>
      <c r="C2230" s="186"/>
    </row>
    <row r="2231" spans="2:3" x14ac:dyDescent="0.3">
      <c r="B2231" s="187"/>
      <c r="C2231" s="186"/>
    </row>
    <row r="2232" spans="2:3" x14ac:dyDescent="0.3">
      <c r="B2232" s="187"/>
      <c r="C2232" s="186"/>
    </row>
    <row r="2233" spans="2:3" x14ac:dyDescent="0.3">
      <c r="B2233" s="187"/>
      <c r="C2233" s="186"/>
    </row>
    <row r="2234" spans="2:3" x14ac:dyDescent="0.3">
      <c r="B2234" s="187"/>
      <c r="C2234" s="186"/>
    </row>
    <row r="2235" spans="2:3" x14ac:dyDescent="0.3">
      <c r="B2235" s="187"/>
      <c r="C2235" s="186"/>
    </row>
    <row r="2236" spans="2:3" x14ac:dyDescent="0.3">
      <c r="B2236" s="187"/>
      <c r="C2236" s="186"/>
    </row>
    <row r="2237" spans="2:3" x14ac:dyDescent="0.3">
      <c r="B2237" s="187"/>
      <c r="C2237" s="186"/>
    </row>
    <row r="2238" spans="2:3" x14ac:dyDescent="0.3">
      <c r="B2238" s="187"/>
      <c r="C2238" s="186"/>
    </row>
    <row r="2239" spans="2:3" x14ac:dyDescent="0.3">
      <c r="B2239" s="187"/>
      <c r="C2239" s="186"/>
    </row>
    <row r="2240" spans="2:3" x14ac:dyDescent="0.3">
      <c r="B2240" s="187"/>
      <c r="C2240" s="186"/>
    </row>
    <row r="2241" spans="2:3" x14ac:dyDescent="0.3">
      <c r="B2241" s="187"/>
      <c r="C2241" s="186"/>
    </row>
    <row r="2242" spans="2:3" x14ac:dyDescent="0.3">
      <c r="B2242" s="187"/>
      <c r="C2242" s="186"/>
    </row>
    <row r="2243" spans="2:3" x14ac:dyDescent="0.3">
      <c r="B2243" s="187"/>
      <c r="C2243" s="186"/>
    </row>
    <row r="2244" spans="2:3" x14ac:dyDescent="0.3">
      <c r="B2244" s="187"/>
      <c r="C2244" s="186"/>
    </row>
    <row r="2245" spans="2:3" x14ac:dyDescent="0.3">
      <c r="B2245" s="187"/>
      <c r="C2245" s="186"/>
    </row>
    <row r="2246" spans="2:3" x14ac:dyDescent="0.3">
      <c r="B2246" s="187"/>
      <c r="C2246" s="186"/>
    </row>
    <row r="2247" spans="2:3" x14ac:dyDescent="0.3">
      <c r="B2247" s="187"/>
      <c r="C2247" s="186"/>
    </row>
    <row r="2248" spans="2:3" x14ac:dyDescent="0.3">
      <c r="B2248" s="187"/>
      <c r="C2248" s="186"/>
    </row>
    <row r="2249" spans="2:3" x14ac:dyDescent="0.3">
      <c r="B2249" s="187"/>
      <c r="C2249" s="186"/>
    </row>
    <row r="2250" spans="2:3" x14ac:dyDescent="0.3">
      <c r="B2250" s="187"/>
      <c r="C2250" s="186"/>
    </row>
    <row r="2251" spans="2:3" x14ac:dyDescent="0.3">
      <c r="B2251" s="187"/>
      <c r="C2251" s="186"/>
    </row>
    <row r="2252" spans="2:3" x14ac:dyDescent="0.3">
      <c r="B2252" s="187"/>
      <c r="C2252" s="186"/>
    </row>
    <row r="2253" spans="2:3" x14ac:dyDescent="0.3">
      <c r="B2253" s="187"/>
      <c r="C2253" s="186"/>
    </row>
    <row r="2254" spans="2:3" x14ac:dyDescent="0.3">
      <c r="B2254" s="187"/>
      <c r="C2254" s="186"/>
    </row>
    <row r="2255" spans="2:3" x14ac:dyDescent="0.3">
      <c r="B2255" s="187"/>
      <c r="C2255" s="186"/>
    </row>
    <row r="2256" spans="2:3" x14ac:dyDescent="0.3">
      <c r="B2256" s="187"/>
      <c r="C2256" s="186"/>
    </row>
    <row r="2257" spans="2:3" x14ac:dyDescent="0.3">
      <c r="B2257" s="187"/>
      <c r="C2257" s="186"/>
    </row>
    <row r="2258" spans="2:3" x14ac:dyDescent="0.3">
      <c r="B2258" s="187"/>
      <c r="C2258" s="186"/>
    </row>
    <row r="2259" spans="2:3" x14ac:dyDescent="0.3">
      <c r="B2259" s="187"/>
      <c r="C2259" s="186"/>
    </row>
    <row r="2260" spans="2:3" x14ac:dyDescent="0.3">
      <c r="B2260" s="187"/>
      <c r="C2260" s="186"/>
    </row>
    <row r="2261" spans="2:3" x14ac:dyDescent="0.3">
      <c r="B2261" s="187"/>
      <c r="C2261" s="186"/>
    </row>
    <row r="2262" spans="2:3" x14ac:dyDescent="0.3">
      <c r="B2262" s="187"/>
      <c r="C2262" s="186"/>
    </row>
    <row r="2263" spans="2:3" x14ac:dyDescent="0.3">
      <c r="B2263" s="187"/>
      <c r="C2263" s="186"/>
    </row>
    <row r="2264" spans="2:3" x14ac:dyDescent="0.3">
      <c r="B2264" s="187"/>
      <c r="C2264" s="186"/>
    </row>
    <row r="2265" spans="2:3" x14ac:dyDescent="0.3">
      <c r="B2265" s="187"/>
      <c r="C2265" s="186"/>
    </row>
    <row r="2266" spans="2:3" x14ac:dyDescent="0.3">
      <c r="B2266" s="187"/>
      <c r="C2266" s="186"/>
    </row>
    <row r="2267" spans="2:3" x14ac:dyDescent="0.3">
      <c r="B2267" s="187"/>
      <c r="C2267" s="186"/>
    </row>
    <row r="2268" spans="2:3" x14ac:dyDescent="0.3">
      <c r="B2268" s="187"/>
      <c r="C2268" s="186"/>
    </row>
    <row r="2269" spans="2:3" x14ac:dyDescent="0.3">
      <c r="B2269" s="187"/>
      <c r="C2269" s="186"/>
    </row>
    <row r="2270" spans="2:3" x14ac:dyDescent="0.3">
      <c r="B2270" s="187"/>
      <c r="C2270" s="186"/>
    </row>
    <row r="2271" spans="2:3" x14ac:dyDescent="0.3">
      <c r="B2271" s="187"/>
      <c r="C2271" s="186"/>
    </row>
    <row r="2272" spans="2:3" x14ac:dyDescent="0.3">
      <c r="B2272" s="187"/>
      <c r="C2272" s="186"/>
    </row>
    <row r="2273" spans="2:3" x14ac:dyDescent="0.3">
      <c r="B2273" s="187"/>
      <c r="C2273" s="186"/>
    </row>
    <row r="2274" spans="2:3" x14ac:dyDescent="0.3">
      <c r="B2274" s="187"/>
      <c r="C2274" s="186"/>
    </row>
    <row r="2275" spans="2:3" x14ac:dyDescent="0.3">
      <c r="B2275" s="187"/>
      <c r="C2275" s="186"/>
    </row>
    <row r="2276" spans="2:3" x14ac:dyDescent="0.3">
      <c r="B2276" s="187"/>
      <c r="C2276" s="186"/>
    </row>
    <row r="2277" spans="2:3" x14ac:dyDescent="0.3">
      <c r="B2277" s="187"/>
      <c r="C2277" s="186"/>
    </row>
    <row r="2278" spans="2:3" x14ac:dyDescent="0.3">
      <c r="B2278" s="187"/>
      <c r="C2278" s="186"/>
    </row>
    <row r="2279" spans="2:3" x14ac:dyDescent="0.3">
      <c r="B2279" s="187"/>
      <c r="C2279" s="186"/>
    </row>
    <row r="2280" spans="2:3" x14ac:dyDescent="0.3">
      <c r="B2280" s="187"/>
      <c r="C2280" s="186"/>
    </row>
    <row r="2281" spans="2:3" x14ac:dyDescent="0.3">
      <c r="B2281" s="187"/>
      <c r="C2281" s="186"/>
    </row>
    <row r="2282" spans="2:3" x14ac:dyDescent="0.3">
      <c r="B2282" s="187"/>
      <c r="C2282" s="186"/>
    </row>
    <row r="2283" spans="2:3" x14ac:dyDescent="0.3">
      <c r="B2283" s="187"/>
      <c r="C2283" s="186"/>
    </row>
    <row r="2284" spans="2:3" x14ac:dyDescent="0.3">
      <c r="B2284" s="187"/>
      <c r="C2284" s="186"/>
    </row>
    <row r="2285" spans="2:3" x14ac:dyDescent="0.3">
      <c r="B2285" s="187"/>
      <c r="C2285" s="186"/>
    </row>
    <row r="2286" spans="2:3" x14ac:dyDescent="0.3">
      <c r="B2286" s="187"/>
      <c r="C2286" s="186"/>
    </row>
    <row r="2287" spans="2:3" x14ac:dyDescent="0.3">
      <c r="B2287" s="187"/>
      <c r="C2287" s="186"/>
    </row>
    <row r="2288" spans="2:3" x14ac:dyDescent="0.3">
      <c r="B2288" s="187"/>
      <c r="C2288" s="186"/>
    </row>
    <row r="2289" spans="2:3" x14ac:dyDescent="0.3">
      <c r="B2289" s="187"/>
      <c r="C2289" s="186"/>
    </row>
    <row r="2290" spans="2:3" x14ac:dyDescent="0.3">
      <c r="B2290" s="187"/>
      <c r="C2290" s="186"/>
    </row>
    <row r="2291" spans="2:3" x14ac:dyDescent="0.3">
      <c r="B2291" s="187"/>
      <c r="C2291" s="186"/>
    </row>
    <row r="2292" spans="2:3" x14ac:dyDescent="0.3">
      <c r="B2292" s="187"/>
      <c r="C2292" s="186"/>
    </row>
    <row r="2293" spans="2:3" x14ac:dyDescent="0.3">
      <c r="B2293" s="187"/>
      <c r="C2293" s="186"/>
    </row>
    <row r="2294" spans="2:3" x14ac:dyDescent="0.3">
      <c r="B2294" s="187"/>
      <c r="C2294" s="186"/>
    </row>
    <row r="2295" spans="2:3" x14ac:dyDescent="0.3">
      <c r="B2295" s="187"/>
      <c r="C2295" s="186"/>
    </row>
    <row r="2296" spans="2:3" x14ac:dyDescent="0.3">
      <c r="B2296" s="187"/>
      <c r="C2296" s="186"/>
    </row>
    <row r="2297" spans="2:3" x14ac:dyDescent="0.3">
      <c r="B2297" s="187"/>
      <c r="C2297" s="186"/>
    </row>
    <row r="2298" spans="2:3" x14ac:dyDescent="0.3">
      <c r="B2298" s="187"/>
      <c r="C2298" s="186"/>
    </row>
    <row r="2299" spans="2:3" x14ac:dyDescent="0.3">
      <c r="B2299" s="187"/>
      <c r="C2299" s="186"/>
    </row>
    <row r="2300" spans="2:3" x14ac:dyDescent="0.3">
      <c r="B2300" s="187"/>
      <c r="C2300" s="186"/>
    </row>
    <row r="2301" spans="2:3" x14ac:dyDescent="0.3">
      <c r="B2301" s="187"/>
      <c r="C2301" s="186"/>
    </row>
    <row r="2302" spans="2:3" x14ac:dyDescent="0.3">
      <c r="B2302" s="187"/>
      <c r="C2302" s="186"/>
    </row>
    <row r="2303" spans="2:3" x14ac:dyDescent="0.3">
      <c r="B2303" s="187"/>
      <c r="C2303" s="186"/>
    </row>
    <row r="2304" spans="2:3" x14ac:dyDescent="0.3">
      <c r="B2304" s="187"/>
      <c r="C2304" s="186"/>
    </row>
    <row r="2305" spans="2:3" x14ac:dyDescent="0.3">
      <c r="B2305" s="187"/>
      <c r="C2305" s="186"/>
    </row>
    <row r="2306" spans="2:3" x14ac:dyDescent="0.3">
      <c r="B2306" s="187"/>
      <c r="C2306" s="186"/>
    </row>
    <row r="2307" spans="2:3" x14ac:dyDescent="0.3">
      <c r="B2307" s="187"/>
      <c r="C2307" s="186"/>
    </row>
    <row r="2308" spans="2:3" x14ac:dyDescent="0.3">
      <c r="B2308" s="187"/>
      <c r="C2308" s="186"/>
    </row>
    <row r="2309" spans="2:3" x14ac:dyDescent="0.3">
      <c r="B2309" s="187"/>
      <c r="C2309" s="186"/>
    </row>
    <row r="2310" spans="2:3" x14ac:dyDescent="0.3">
      <c r="B2310" s="187"/>
      <c r="C2310" s="186"/>
    </row>
    <row r="2311" spans="2:3" x14ac:dyDescent="0.3">
      <c r="B2311" s="187"/>
      <c r="C2311" s="186"/>
    </row>
    <row r="2312" spans="2:3" x14ac:dyDescent="0.3">
      <c r="B2312" s="187"/>
      <c r="C2312" s="186"/>
    </row>
    <row r="2313" spans="2:3" x14ac:dyDescent="0.3">
      <c r="B2313" s="187"/>
      <c r="C2313" s="186"/>
    </row>
    <row r="2314" spans="2:3" x14ac:dyDescent="0.3">
      <c r="B2314" s="187"/>
      <c r="C2314" s="186"/>
    </row>
    <row r="2315" spans="2:3" x14ac:dyDescent="0.3">
      <c r="B2315" s="187"/>
      <c r="C2315" s="186"/>
    </row>
    <row r="2316" spans="2:3" x14ac:dyDescent="0.3">
      <c r="B2316" s="187"/>
      <c r="C2316" s="186"/>
    </row>
    <row r="2317" spans="2:3" x14ac:dyDescent="0.3">
      <c r="B2317" s="187"/>
      <c r="C2317" s="186"/>
    </row>
    <row r="2318" spans="2:3" x14ac:dyDescent="0.3">
      <c r="B2318" s="187"/>
      <c r="C2318" s="186"/>
    </row>
    <row r="2319" spans="2:3" x14ac:dyDescent="0.3">
      <c r="B2319" s="187"/>
      <c r="C2319" s="186"/>
    </row>
    <row r="2320" spans="2:3" x14ac:dyDescent="0.3">
      <c r="B2320" s="187"/>
      <c r="C2320" s="186"/>
    </row>
    <row r="2321" spans="2:3" x14ac:dyDescent="0.3">
      <c r="B2321" s="187"/>
      <c r="C2321" s="186"/>
    </row>
    <row r="2322" spans="2:3" x14ac:dyDescent="0.3">
      <c r="B2322" s="187"/>
      <c r="C2322" s="186"/>
    </row>
    <row r="2323" spans="2:3" x14ac:dyDescent="0.3">
      <c r="B2323" s="187"/>
      <c r="C2323" s="186"/>
    </row>
    <row r="2324" spans="2:3" x14ac:dyDescent="0.3">
      <c r="B2324" s="187"/>
      <c r="C2324" s="186"/>
    </row>
    <row r="2325" spans="2:3" x14ac:dyDescent="0.3">
      <c r="B2325" s="187"/>
      <c r="C2325" s="186"/>
    </row>
    <row r="2326" spans="2:3" x14ac:dyDescent="0.3">
      <c r="B2326" s="187"/>
      <c r="C2326" s="186"/>
    </row>
    <row r="2327" spans="2:3" x14ac:dyDescent="0.3">
      <c r="B2327" s="187"/>
      <c r="C2327" s="186"/>
    </row>
    <row r="2328" spans="2:3" x14ac:dyDescent="0.3">
      <c r="B2328" s="187"/>
      <c r="C2328" s="186"/>
    </row>
    <row r="2329" spans="2:3" x14ac:dyDescent="0.3">
      <c r="B2329" s="187"/>
      <c r="C2329" s="186"/>
    </row>
    <row r="2330" spans="2:3" x14ac:dyDescent="0.3">
      <c r="B2330" s="187"/>
      <c r="C2330" s="186"/>
    </row>
    <row r="2331" spans="2:3" x14ac:dyDescent="0.3">
      <c r="B2331" s="187"/>
      <c r="C2331" s="186"/>
    </row>
    <row r="2332" spans="2:3" x14ac:dyDescent="0.3">
      <c r="B2332" s="187"/>
      <c r="C2332" s="186"/>
    </row>
    <row r="2333" spans="2:3" x14ac:dyDescent="0.3">
      <c r="B2333" s="187"/>
      <c r="C2333" s="186"/>
    </row>
    <row r="2334" spans="2:3" x14ac:dyDescent="0.3">
      <c r="B2334" s="187"/>
      <c r="C2334" s="186"/>
    </row>
    <row r="2335" spans="2:3" x14ac:dyDescent="0.3">
      <c r="B2335" s="187"/>
      <c r="C2335" s="186"/>
    </row>
    <row r="2336" spans="2:3" x14ac:dyDescent="0.3">
      <c r="B2336" s="187"/>
      <c r="C2336" s="186"/>
    </row>
    <row r="2337" spans="2:3" x14ac:dyDescent="0.3">
      <c r="B2337" s="187"/>
      <c r="C2337" s="186"/>
    </row>
    <row r="2338" spans="2:3" x14ac:dyDescent="0.3">
      <c r="B2338" s="187"/>
      <c r="C2338" s="186"/>
    </row>
    <row r="2339" spans="2:3" x14ac:dyDescent="0.3">
      <c r="B2339" s="187"/>
      <c r="C2339" s="186"/>
    </row>
    <row r="2340" spans="2:3" x14ac:dyDescent="0.3">
      <c r="B2340" s="187"/>
      <c r="C2340" s="186"/>
    </row>
    <row r="2341" spans="2:3" x14ac:dyDescent="0.3">
      <c r="B2341" s="187"/>
      <c r="C2341" s="186"/>
    </row>
    <row r="2342" spans="2:3" x14ac:dyDescent="0.3">
      <c r="B2342" s="187"/>
      <c r="C2342" s="186"/>
    </row>
    <row r="2343" spans="2:3" x14ac:dyDescent="0.3">
      <c r="B2343" s="187"/>
      <c r="C2343" s="186"/>
    </row>
    <row r="2344" spans="2:3" x14ac:dyDescent="0.3">
      <c r="B2344" s="187"/>
      <c r="C2344" s="186"/>
    </row>
    <row r="2345" spans="2:3" x14ac:dyDescent="0.3">
      <c r="B2345" s="187"/>
      <c r="C2345" s="186"/>
    </row>
    <row r="2346" spans="2:3" x14ac:dyDescent="0.3">
      <c r="B2346" s="187"/>
      <c r="C2346" s="186"/>
    </row>
    <row r="2347" spans="2:3" x14ac:dyDescent="0.3">
      <c r="B2347" s="187"/>
      <c r="C2347" s="186"/>
    </row>
    <row r="2348" spans="2:3" x14ac:dyDescent="0.3">
      <c r="B2348" s="187"/>
      <c r="C2348" s="186"/>
    </row>
    <row r="2349" spans="2:3" x14ac:dyDescent="0.3">
      <c r="B2349" s="187"/>
      <c r="C2349" s="186"/>
    </row>
    <row r="2350" spans="2:3" x14ac:dyDescent="0.3">
      <c r="B2350" s="187"/>
      <c r="C2350" s="186"/>
    </row>
    <row r="2351" spans="2:3" x14ac:dyDescent="0.3">
      <c r="B2351" s="187"/>
      <c r="C2351" s="186"/>
    </row>
    <row r="2352" spans="2:3" x14ac:dyDescent="0.3">
      <c r="B2352" s="187"/>
      <c r="C2352" s="186"/>
    </row>
    <row r="2353" spans="2:3" x14ac:dyDescent="0.3">
      <c r="B2353" s="187"/>
      <c r="C2353" s="186"/>
    </row>
    <row r="2354" spans="2:3" x14ac:dyDescent="0.3">
      <c r="B2354" s="187"/>
      <c r="C2354" s="186"/>
    </row>
    <row r="2355" spans="2:3" x14ac:dyDescent="0.3">
      <c r="B2355" s="187"/>
      <c r="C2355" s="186"/>
    </row>
    <row r="2356" spans="2:3" x14ac:dyDescent="0.3">
      <c r="B2356" s="187"/>
      <c r="C2356" s="186"/>
    </row>
    <row r="2357" spans="2:3" x14ac:dyDescent="0.3">
      <c r="B2357" s="187"/>
      <c r="C2357" s="186"/>
    </row>
    <row r="2358" spans="2:3" x14ac:dyDescent="0.3">
      <c r="B2358" s="187"/>
      <c r="C2358" s="186"/>
    </row>
    <row r="2359" spans="2:3" x14ac:dyDescent="0.3">
      <c r="B2359" s="187"/>
      <c r="C2359" s="186"/>
    </row>
    <row r="2360" spans="2:3" x14ac:dyDescent="0.3">
      <c r="B2360" s="187"/>
      <c r="C2360" s="186"/>
    </row>
    <row r="2361" spans="2:3" x14ac:dyDescent="0.3">
      <c r="B2361" s="187"/>
      <c r="C2361" s="186"/>
    </row>
    <row r="2362" spans="2:3" x14ac:dyDescent="0.3">
      <c r="B2362" s="187"/>
      <c r="C2362" s="186"/>
    </row>
    <row r="2363" spans="2:3" x14ac:dyDescent="0.3">
      <c r="B2363" s="187"/>
      <c r="C2363" s="186"/>
    </row>
    <row r="2364" spans="2:3" x14ac:dyDescent="0.3">
      <c r="B2364" s="187"/>
      <c r="C2364" s="186"/>
    </row>
    <row r="2365" spans="2:3" x14ac:dyDescent="0.3">
      <c r="B2365" s="187"/>
      <c r="C2365" s="186"/>
    </row>
    <row r="2366" spans="2:3" x14ac:dyDescent="0.3">
      <c r="B2366" s="187"/>
      <c r="C2366" s="186"/>
    </row>
    <row r="2367" spans="2:3" x14ac:dyDescent="0.3">
      <c r="B2367" s="187"/>
      <c r="C2367" s="186"/>
    </row>
    <row r="2368" spans="2:3" x14ac:dyDescent="0.3">
      <c r="B2368" s="187"/>
      <c r="C2368" s="186"/>
    </row>
    <row r="2369" spans="2:3" x14ac:dyDescent="0.3">
      <c r="B2369" s="187"/>
      <c r="C2369" s="186"/>
    </row>
    <row r="2370" spans="2:3" x14ac:dyDescent="0.3">
      <c r="B2370" s="187"/>
      <c r="C2370" s="186"/>
    </row>
    <row r="2371" spans="2:3" x14ac:dyDescent="0.3">
      <c r="B2371" s="187"/>
      <c r="C2371" s="186"/>
    </row>
    <row r="2372" spans="2:3" x14ac:dyDescent="0.3">
      <c r="B2372" s="187"/>
      <c r="C2372" s="186"/>
    </row>
    <row r="2373" spans="2:3" x14ac:dyDescent="0.3">
      <c r="B2373" s="187"/>
      <c r="C2373" s="186"/>
    </row>
    <row r="2374" spans="2:3" x14ac:dyDescent="0.3">
      <c r="B2374" s="187"/>
      <c r="C2374" s="186"/>
    </row>
    <row r="2375" spans="2:3" x14ac:dyDescent="0.3">
      <c r="B2375" s="187"/>
      <c r="C2375" s="186"/>
    </row>
    <row r="2376" spans="2:3" x14ac:dyDescent="0.3">
      <c r="B2376" s="187"/>
      <c r="C2376" s="186"/>
    </row>
    <row r="2377" spans="2:3" x14ac:dyDescent="0.3">
      <c r="B2377" s="187"/>
      <c r="C2377" s="186"/>
    </row>
    <row r="2378" spans="2:3" x14ac:dyDescent="0.3">
      <c r="B2378" s="187"/>
      <c r="C2378" s="186"/>
    </row>
    <row r="2379" spans="2:3" x14ac:dyDescent="0.3">
      <c r="B2379" s="187"/>
      <c r="C2379" s="186"/>
    </row>
    <row r="2380" spans="2:3" x14ac:dyDescent="0.3">
      <c r="B2380" s="187"/>
      <c r="C2380" s="186"/>
    </row>
    <row r="2381" spans="2:3" x14ac:dyDescent="0.3">
      <c r="B2381" s="187"/>
      <c r="C2381" s="186"/>
    </row>
    <row r="2382" spans="2:3" x14ac:dyDescent="0.3">
      <c r="B2382" s="187"/>
      <c r="C2382" s="186"/>
    </row>
    <row r="2383" spans="2:3" x14ac:dyDescent="0.3">
      <c r="B2383" s="187"/>
      <c r="C2383" s="186"/>
    </row>
    <row r="2384" spans="2:3" x14ac:dyDescent="0.3">
      <c r="B2384" s="187"/>
      <c r="C2384" s="186"/>
    </row>
    <row r="2385" spans="2:3" x14ac:dyDescent="0.3">
      <c r="B2385" s="187"/>
      <c r="C2385" s="186"/>
    </row>
    <row r="2386" spans="2:3" x14ac:dyDescent="0.3">
      <c r="B2386" s="187"/>
      <c r="C2386" s="186"/>
    </row>
    <row r="2387" spans="2:3" x14ac:dyDescent="0.3">
      <c r="B2387" s="187"/>
      <c r="C2387" s="186"/>
    </row>
    <row r="2388" spans="2:3" x14ac:dyDescent="0.3">
      <c r="B2388" s="187"/>
      <c r="C2388" s="186"/>
    </row>
    <row r="2389" spans="2:3" x14ac:dyDescent="0.3">
      <c r="B2389" s="187"/>
      <c r="C2389" s="186"/>
    </row>
    <row r="2390" spans="2:3" x14ac:dyDescent="0.3">
      <c r="B2390" s="187"/>
      <c r="C2390" s="186"/>
    </row>
    <row r="2391" spans="2:3" x14ac:dyDescent="0.3">
      <c r="B2391" s="187"/>
      <c r="C2391" s="186"/>
    </row>
    <row r="2392" spans="2:3" x14ac:dyDescent="0.3">
      <c r="B2392" s="187"/>
      <c r="C2392" s="186"/>
    </row>
    <row r="2393" spans="2:3" x14ac:dyDescent="0.3">
      <c r="B2393" s="187"/>
      <c r="C2393" s="186"/>
    </row>
    <row r="2394" spans="2:3" x14ac:dyDescent="0.3">
      <c r="B2394" s="187"/>
      <c r="C2394" s="186"/>
    </row>
    <row r="2395" spans="2:3" x14ac:dyDescent="0.3">
      <c r="B2395" s="187"/>
      <c r="C2395" s="186"/>
    </row>
    <row r="2396" spans="2:3" x14ac:dyDescent="0.3">
      <c r="B2396" s="187"/>
      <c r="C2396" s="186"/>
    </row>
    <row r="2397" spans="2:3" x14ac:dyDescent="0.3">
      <c r="B2397" s="187"/>
      <c r="C2397" s="186"/>
    </row>
    <row r="2398" spans="2:3" x14ac:dyDescent="0.3">
      <c r="B2398" s="187"/>
      <c r="C2398" s="186"/>
    </row>
    <row r="2399" spans="2:3" x14ac:dyDescent="0.3">
      <c r="B2399" s="187"/>
      <c r="C2399" s="186"/>
    </row>
    <row r="2400" spans="2:3" x14ac:dyDescent="0.3">
      <c r="B2400" s="187"/>
      <c r="C2400" s="186"/>
    </row>
    <row r="2401" spans="2:3" x14ac:dyDescent="0.3">
      <c r="B2401" s="187"/>
      <c r="C2401" s="186"/>
    </row>
    <row r="2402" spans="2:3" x14ac:dyDescent="0.3">
      <c r="B2402" s="187"/>
      <c r="C2402" s="186"/>
    </row>
    <row r="2403" spans="2:3" x14ac:dyDescent="0.3">
      <c r="B2403" s="187"/>
      <c r="C2403" s="186"/>
    </row>
    <row r="2404" spans="2:3" x14ac:dyDescent="0.3">
      <c r="B2404" s="187"/>
      <c r="C2404" s="186"/>
    </row>
    <row r="2405" spans="2:3" x14ac:dyDescent="0.3">
      <c r="B2405" s="187"/>
      <c r="C2405" s="186"/>
    </row>
    <row r="2406" spans="2:3" x14ac:dyDescent="0.3">
      <c r="B2406" s="187"/>
      <c r="C2406" s="186"/>
    </row>
    <row r="2407" spans="2:3" x14ac:dyDescent="0.3">
      <c r="B2407" s="187"/>
      <c r="C2407" s="186"/>
    </row>
    <row r="2408" spans="2:3" x14ac:dyDescent="0.3">
      <c r="B2408" s="187"/>
      <c r="C2408" s="186"/>
    </row>
    <row r="2409" spans="2:3" x14ac:dyDescent="0.3">
      <c r="B2409" s="187"/>
      <c r="C2409" s="186"/>
    </row>
    <row r="2410" spans="2:3" x14ac:dyDescent="0.3">
      <c r="B2410" s="187"/>
      <c r="C2410" s="186"/>
    </row>
    <row r="2411" spans="2:3" x14ac:dyDescent="0.3">
      <c r="B2411" s="187"/>
      <c r="C2411" s="186"/>
    </row>
    <row r="2412" spans="2:3" x14ac:dyDescent="0.3">
      <c r="B2412" s="187"/>
      <c r="C2412" s="186"/>
    </row>
    <row r="2413" spans="2:3" x14ac:dyDescent="0.3">
      <c r="B2413" s="187"/>
      <c r="C2413" s="186"/>
    </row>
    <row r="2414" spans="2:3" x14ac:dyDescent="0.3">
      <c r="B2414" s="187"/>
      <c r="C2414" s="186"/>
    </row>
    <row r="2415" spans="2:3" x14ac:dyDescent="0.3">
      <c r="B2415" s="187"/>
      <c r="C2415" s="186"/>
    </row>
    <row r="2416" spans="2:3" x14ac:dyDescent="0.3">
      <c r="B2416" s="187"/>
      <c r="C2416" s="186"/>
    </row>
    <row r="2417" spans="2:3" x14ac:dyDescent="0.3">
      <c r="B2417" s="187"/>
      <c r="C2417" s="186"/>
    </row>
    <row r="2418" spans="2:3" x14ac:dyDescent="0.3">
      <c r="B2418" s="187"/>
      <c r="C2418" s="186"/>
    </row>
    <row r="2419" spans="2:3" x14ac:dyDescent="0.3">
      <c r="B2419" s="187"/>
      <c r="C2419" s="186"/>
    </row>
    <row r="2420" spans="2:3" x14ac:dyDescent="0.3">
      <c r="B2420" s="187"/>
      <c r="C2420" s="186"/>
    </row>
    <row r="2421" spans="2:3" x14ac:dyDescent="0.3">
      <c r="B2421" s="187"/>
      <c r="C2421" s="186"/>
    </row>
    <row r="2422" spans="2:3" x14ac:dyDescent="0.3">
      <c r="B2422" s="187"/>
      <c r="C2422" s="186"/>
    </row>
    <row r="2423" spans="2:3" x14ac:dyDescent="0.3">
      <c r="B2423" s="187"/>
      <c r="C2423" s="186"/>
    </row>
    <row r="2424" spans="2:3" x14ac:dyDescent="0.3">
      <c r="B2424" s="187"/>
      <c r="C2424" s="186"/>
    </row>
    <row r="2425" spans="2:3" x14ac:dyDescent="0.3">
      <c r="B2425" s="187"/>
      <c r="C2425" s="186"/>
    </row>
    <row r="2426" spans="2:3" x14ac:dyDescent="0.3">
      <c r="B2426" s="187"/>
      <c r="C2426" s="186"/>
    </row>
    <row r="2427" spans="2:3" x14ac:dyDescent="0.3">
      <c r="B2427" s="187"/>
      <c r="C2427" s="186"/>
    </row>
    <row r="2428" spans="2:3" x14ac:dyDescent="0.3">
      <c r="B2428" s="187"/>
      <c r="C2428" s="186"/>
    </row>
    <row r="2429" spans="2:3" x14ac:dyDescent="0.3">
      <c r="B2429" s="187"/>
      <c r="C2429" s="186"/>
    </row>
    <row r="2430" spans="2:3" x14ac:dyDescent="0.3">
      <c r="B2430" s="187"/>
      <c r="C2430" s="186"/>
    </row>
    <row r="2431" spans="2:3" x14ac:dyDescent="0.3">
      <c r="B2431" s="187"/>
      <c r="C2431" s="186"/>
    </row>
    <row r="2432" spans="2:3" x14ac:dyDescent="0.3">
      <c r="B2432" s="187"/>
      <c r="C2432" s="186"/>
    </row>
    <row r="2433" spans="2:3" x14ac:dyDescent="0.3">
      <c r="B2433" s="187"/>
      <c r="C2433" s="186"/>
    </row>
    <row r="2434" spans="2:3" x14ac:dyDescent="0.3">
      <c r="B2434" s="187"/>
      <c r="C2434" s="186"/>
    </row>
    <row r="2435" spans="2:3" x14ac:dyDescent="0.3">
      <c r="B2435" s="187"/>
      <c r="C2435" s="186"/>
    </row>
    <row r="2436" spans="2:3" x14ac:dyDescent="0.3">
      <c r="B2436" s="187"/>
      <c r="C2436" s="186"/>
    </row>
    <row r="2437" spans="2:3" x14ac:dyDescent="0.3">
      <c r="B2437" s="187"/>
      <c r="C2437" s="186"/>
    </row>
    <row r="2438" spans="2:3" x14ac:dyDescent="0.3">
      <c r="B2438" s="187"/>
      <c r="C2438" s="186"/>
    </row>
    <row r="2439" spans="2:3" x14ac:dyDescent="0.3">
      <c r="B2439" s="187"/>
      <c r="C2439" s="186"/>
    </row>
    <row r="2440" spans="2:3" x14ac:dyDescent="0.3">
      <c r="B2440" s="187"/>
      <c r="C2440" s="186"/>
    </row>
    <row r="2441" spans="2:3" x14ac:dyDescent="0.3">
      <c r="B2441" s="187"/>
      <c r="C2441" s="186"/>
    </row>
    <row r="2442" spans="2:3" x14ac:dyDescent="0.3">
      <c r="B2442" s="187"/>
      <c r="C2442" s="186"/>
    </row>
    <row r="2443" spans="2:3" x14ac:dyDescent="0.3">
      <c r="B2443" s="187"/>
      <c r="C2443" s="186"/>
    </row>
    <row r="2444" spans="2:3" x14ac:dyDescent="0.3">
      <c r="B2444" s="187"/>
      <c r="C2444" s="186"/>
    </row>
    <row r="2445" spans="2:3" x14ac:dyDescent="0.3">
      <c r="B2445" s="187"/>
      <c r="C2445" s="186"/>
    </row>
    <row r="2446" spans="2:3" x14ac:dyDescent="0.3">
      <c r="B2446" s="187"/>
      <c r="C2446" s="186"/>
    </row>
    <row r="2447" spans="2:3" x14ac:dyDescent="0.3">
      <c r="B2447" s="187"/>
      <c r="C2447" s="186"/>
    </row>
    <row r="2448" spans="2:3" x14ac:dyDescent="0.3">
      <c r="B2448" s="187"/>
      <c r="C2448" s="186"/>
    </row>
    <row r="2449" spans="2:3" x14ac:dyDescent="0.3">
      <c r="B2449" s="187"/>
      <c r="C2449" s="186"/>
    </row>
    <row r="2450" spans="2:3" x14ac:dyDescent="0.3">
      <c r="B2450" s="187"/>
      <c r="C2450" s="186"/>
    </row>
    <row r="2451" spans="2:3" x14ac:dyDescent="0.3">
      <c r="B2451" s="187"/>
      <c r="C2451" s="186"/>
    </row>
    <row r="2452" spans="2:3" x14ac:dyDescent="0.3">
      <c r="B2452" s="187"/>
      <c r="C2452" s="186"/>
    </row>
    <row r="2453" spans="2:3" x14ac:dyDescent="0.3">
      <c r="B2453" s="187"/>
      <c r="C2453" s="186"/>
    </row>
    <row r="2454" spans="2:3" x14ac:dyDescent="0.3">
      <c r="B2454" s="187"/>
      <c r="C2454" s="186"/>
    </row>
    <row r="2455" spans="2:3" x14ac:dyDescent="0.3">
      <c r="B2455" s="187"/>
      <c r="C2455" s="186"/>
    </row>
    <row r="2456" spans="2:3" x14ac:dyDescent="0.3">
      <c r="B2456" s="187"/>
      <c r="C2456" s="186"/>
    </row>
    <row r="2457" spans="2:3" x14ac:dyDescent="0.3">
      <c r="B2457" s="187"/>
      <c r="C2457" s="186"/>
    </row>
    <row r="2458" spans="2:3" x14ac:dyDescent="0.3">
      <c r="B2458" s="187"/>
      <c r="C2458" s="186"/>
    </row>
    <row r="2459" spans="2:3" x14ac:dyDescent="0.3">
      <c r="B2459" s="187"/>
      <c r="C2459" s="186"/>
    </row>
    <row r="2460" spans="2:3" x14ac:dyDescent="0.3">
      <c r="B2460" s="187"/>
      <c r="C2460" s="186"/>
    </row>
    <row r="2461" spans="2:3" x14ac:dyDescent="0.3">
      <c r="B2461" s="187"/>
      <c r="C2461" s="186"/>
    </row>
    <row r="2462" spans="2:3" x14ac:dyDescent="0.3">
      <c r="B2462" s="187"/>
      <c r="C2462" s="186"/>
    </row>
    <row r="2463" spans="2:3" x14ac:dyDescent="0.3">
      <c r="B2463" s="187"/>
      <c r="C2463" s="186"/>
    </row>
    <row r="2464" spans="2:3" x14ac:dyDescent="0.3">
      <c r="B2464" s="187"/>
      <c r="C2464" s="186"/>
    </row>
    <row r="2465" spans="2:3" x14ac:dyDescent="0.3">
      <c r="B2465" s="187"/>
      <c r="C2465" s="186"/>
    </row>
    <row r="2466" spans="2:3" x14ac:dyDescent="0.3">
      <c r="B2466" s="187"/>
      <c r="C2466" s="186"/>
    </row>
    <row r="2467" spans="2:3" x14ac:dyDescent="0.3">
      <c r="B2467" s="187"/>
      <c r="C2467" s="186"/>
    </row>
    <row r="2468" spans="2:3" x14ac:dyDescent="0.3">
      <c r="B2468" s="187"/>
      <c r="C2468" s="186"/>
    </row>
    <row r="2469" spans="2:3" x14ac:dyDescent="0.3">
      <c r="B2469" s="187"/>
      <c r="C2469" s="186"/>
    </row>
    <row r="2470" spans="2:3" x14ac:dyDescent="0.3">
      <c r="B2470" s="187"/>
      <c r="C2470" s="186"/>
    </row>
    <row r="2471" spans="2:3" x14ac:dyDescent="0.3">
      <c r="B2471" s="187"/>
      <c r="C2471" s="186"/>
    </row>
    <row r="2472" spans="2:3" x14ac:dyDescent="0.3">
      <c r="B2472" s="187"/>
      <c r="C2472" s="186"/>
    </row>
    <row r="2473" spans="2:3" x14ac:dyDescent="0.3">
      <c r="B2473" s="187"/>
      <c r="C2473" s="186"/>
    </row>
    <row r="2474" spans="2:3" x14ac:dyDescent="0.3">
      <c r="B2474" s="187"/>
      <c r="C2474" s="186"/>
    </row>
    <row r="2475" spans="2:3" x14ac:dyDescent="0.3">
      <c r="B2475" s="187"/>
      <c r="C2475" s="186"/>
    </row>
    <row r="2476" spans="2:3" x14ac:dyDescent="0.3">
      <c r="B2476" s="187"/>
      <c r="C2476" s="186"/>
    </row>
    <row r="2477" spans="2:3" x14ac:dyDescent="0.3">
      <c r="B2477" s="187"/>
      <c r="C2477" s="186"/>
    </row>
    <row r="2478" spans="2:3" x14ac:dyDescent="0.3">
      <c r="B2478" s="187"/>
      <c r="C2478" s="186"/>
    </row>
    <row r="2479" spans="2:3" x14ac:dyDescent="0.3">
      <c r="B2479" s="187"/>
      <c r="C2479" s="186"/>
    </row>
    <row r="2480" spans="2:3" x14ac:dyDescent="0.3">
      <c r="B2480" s="187"/>
      <c r="C2480" s="186"/>
    </row>
    <row r="2481" spans="2:3" x14ac:dyDescent="0.3">
      <c r="B2481" s="187"/>
      <c r="C2481" s="186"/>
    </row>
    <row r="2482" spans="2:3" x14ac:dyDescent="0.3">
      <c r="B2482" s="187"/>
      <c r="C2482" s="186"/>
    </row>
    <row r="2483" spans="2:3" x14ac:dyDescent="0.3">
      <c r="B2483" s="187"/>
      <c r="C2483" s="186"/>
    </row>
    <row r="2484" spans="2:3" x14ac:dyDescent="0.3">
      <c r="B2484" s="187"/>
      <c r="C2484" s="186"/>
    </row>
    <row r="2485" spans="2:3" x14ac:dyDescent="0.3">
      <c r="B2485" s="187"/>
      <c r="C2485" s="186"/>
    </row>
    <row r="2486" spans="2:3" x14ac:dyDescent="0.3">
      <c r="B2486" s="187"/>
      <c r="C2486" s="186"/>
    </row>
    <row r="2487" spans="2:3" x14ac:dyDescent="0.3">
      <c r="B2487" s="187"/>
      <c r="C2487" s="186"/>
    </row>
    <row r="2488" spans="2:3" x14ac:dyDescent="0.3">
      <c r="B2488" s="187"/>
      <c r="C2488" s="186"/>
    </row>
    <row r="2489" spans="2:3" x14ac:dyDescent="0.3">
      <c r="B2489" s="187"/>
      <c r="C2489" s="186"/>
    </row>
    <row r="2490" spans="2:3" x14ac:dyDescent="0.3">
      <c r="B2490" s="187"/>
      <c r="C2490" s="186"/>
    </row>
    <row r="2491" spans="2:3" x14ac:dyDescent="0.3">
      <c r="B2491" s="187"/>
      <c r="C2491" s="186"/>
    </row>
    <row r="2492" spans="2:3" x14ac:dyDescent="0.3">
      <c r="B2492" s="187"/>
      <c r="C2492" s="186"/>
    </row>
    <row r="2493" spans="2:3" x14ac:dyDescent="0.3">
      <c r="B2493" s="187"/>
      <c r="C2493" s="186"/>
    </row>
    <row r="2494" spans="2:3" x14ac:dyDescent="0.3">
      <c r="B2494" s="187"/>
      <c r="C2494" s="186"/>
    </row>
    <row r="2495" spans="2:3" x14ac:dyDescent="0.3">
      <c r="B2495" s="187"/>
      <c r="C2495" s="186"/>
    </row>
    <row r="2496" spans="2:3" x14ac:dyDescent="0.3">
      <c r="B2496" s="187"/>
      <c r="C2496" s="186"/>
    </row>
    <row r="2497" spans="2:3" x14ac:dyDescent="0.3">
      <c r="B2497" s="187"/>
      <c r="C2497" s="186"/>
    </row>
    <row r="2498" spans="2:3" x14ac:dyDescent="0.3">
      <c r="B2498" s="187"/>
      <c r="C2498" s="186"/>
    </row>
    <row r="2499" spans="2:3" x14ac:dyDescent="0.3">
      <c r="B2499" s="187"/>
      <c r="C2499" s="186"/>
    </row>
    <row r="2500" spans="2:3" x14ac:dyDescent="0.3">
      <c r="B2500" s="187"/>
      <c r="C2500" s="186"/>
    </row>
    <row r="2501" spans="2:3" x14ac:dyDescent="0.3">
      <c r="B2501" s="187"/>
      <c r="C2501" s="186"/>
    </row>
    <row r="2502" spans="2:3" x14ac:dyDescent="0.3">
      <c r="B2502" s="187"/>
      <c r="C2502" s="186"/>
    </row>
    <row r="2503" spans="2:3" x14ac:dyDescent="0.3">
      <c r="B2503" s="187"/>
      <c r="C2503" s="186"/>
    </row>
    <row r="2504" spans="2:3" x14ac:dyDescent="0.3">
      <c r="B2504" s="187"/>
      <c r="C2504" s="186"/>
    </row>
    <row r="2505" spans="2:3" x14ac:dyDescent="0.3">
      <c r="B2505" s="187"/>
      <c r="C2505" s="186"/>
    </row>
    <row r="2506" spans="2:3" x14ac:dyDescent="0.3">
      <c r="B2506" s="187"/>
      <c r="C2506" s="186"/>
    </row>
    <row r="2507" spans="2:3" x14ac:dyDescent="0.3">
      <c r="B2507" s="187"/>
      <c r="C2507" s="186"/>
    </row>
    <row r="2508" spans="2:3" x14ac:dyDescent="0.3">
      <c r="B2508" s="187"/>
      <c r="C2508" s="186"/>
    </row>
    <row r="2509" spans="2:3" x14ac:dyDescent="0.3">
      <c r="B2509" s="187"/>
      <c r="C2509" s="186"/>
    </row>
    <row r="2510" spans="2:3" x14ac:dyDescent="0.3">
      <c r="B2510" s="187"/>
      <c r="C2510" s="186"/>
    </row>
    <row r="2511" spans="2:3" x14ac:dyDescent="0.3">
      <c r="B2511" s="187"/>
      <c r="C2511" s="186"/>
    </row>
    <row r="2512" spans="2:3" x14ac:dyDescent="0.3">
      <c r="B2512" s="187"/>
      <c r="C2512" s="186"/>
    </row>
    <row r="2513" spans="2:3" x14ac:dyDescent="0.3">
      <c r="B2513" s="187"/>
      <c r="C2513" s="186"/>
    </row>
    <row r="2514" spans="2:3" x14ac:dyDescent="0.3">
      <c r="B2514" s="187"/>
      <c r="C2514" s="186"/>
    </row>
    <row r="2515" spans="2:3" x14ac:dyDescent="0.3">
      <c r="B2515" s="187"/>
      <c r="C2515" s="186"/>
    </row>
    <row r="2516" spans="2:3" x14ac:dyDescent="0.3">
      <c r="B2516" s="187"/>
      <c r="C2516" s="186"/>
    </row>
    <row r="2517" spans="2:3" x14ac:dyDescent="0.3">
      <c r="B2517" s="187"/>
      <c r="C2517" s="186"/>
    </row>
    <row r="2518" spans="2:3" x14ac:dyDescent="0.3">
      <c r="B2518" s="187"/>
      <c r="C2518" s="186"/>
    </row>
    <row r="2519" spans="2:3" x14ac:dyDescent="0.3">
      <c r="B2519" s="187"/>
      <c r="C2519" s="186"/>
    </row>
    <row r="2520" spans="2:3" x14ac:dyDescent="0.3">
      <c r="B2520" s="187"/>
      <c r="C2520" s="186"/>
    </row>
    <row r="2521" spans="2:3" x14ac:dyDescent="0.3">
      <c r="B2521" s="187"/>
      <c r="C2521" s="186"/>
    </row>
    <row r="2522" spans="2:3" x14ac:dyDescent="0.3">
      <c r="B2522" s="187"/>
      <c r="C2522" s="186"/>
    </row>
    <row r="2523" spans="2:3" x14ac:dyDescent="0.3">
      <c r="B2523" s="187"/>
      <c r="C2523" s="186"/>
    </row>
    <row r="2524" spans="2:3" x14ac:dyDescent="0.3">
      <c r="B2524" s="187"/>
      <c r="C2524" s="186"/>
    </row>
    <row r="2525" spans="2:3" x14ac:dyDescent="0.3">
      <c r="B2525" s="187"/>
      <c r="C2525" s="186"/>
    </row>
    <row r="2526" spans="2:3" x14ac:dyDescent="0.3">
      <c r="B2526" s="187"/>
      <c r="C2526" s="186"/>
    </row>
    <row r="2527" spans="2:3" x14ac:dyDescent="0.3">
      <c r="B2527" s="187"/>
      <c r="C2527" s="186"/>
    </row>
    <row r="2528" spans="2:3" x14ac:dyDescent="0.3">
      <c r="B2528" s="187"/>
      <c r="C2528" s="186"/>
    </row>
    <row r="2529" spans="2:3" x14ac:dyDescent="0.3">
      <c r="B2529" s="187"/>
      <c r="C2529" s="186"/>
    </row>
    <row r="2530" spans="2:3" x14ac:dyDescent="0.3">
      <c r="B2530" s="187"/>
      <c r="C2530" s="186"/>
    </row>
    <row r="2531" spans="2:3" x14ac:dyDescent="0.3">
      <c r="B2531" s="187"/>
      <c r="C2531" s="186"/>
    </row>
    <row r="2532" spans="2:3" x14ac:dyDescent="0.3">
      <c r="B2532" s="187"/>
      <c r="C2532" s="186"/>
    </row>
    <row r="2533" spans="2:3" x14ac:dyDescent="0.3">
      <c r="B2533" s="187"/>
      <c r="C2533" s="186"/>
    </row>
    <row r="2534" spans="2:3" x14ac:dyDescent="0.3">
      <c r="B2534" s="187"/>
      <c r="C2534" s="186"/>
    </row>
    <row r="2535" spans="2:3" x14ac:dyDescent="0.3">
      <c r="B2535" s="187"/>
      <c r="C2535" s="186"/>
    </row>
    <row r="2536" spans="2:3" x14ac:dyDescent="0.3">
      <c r="B2536" s="187"/>
      <c r="C2536" s="186"/>
    </row>
    <row r="2537" spans="2:3" x14ac:dyDescent="0.3">
      <c r="B2537" s="187"/>
      <c r="C2537" s="186"/>
    </row>
    <row r="2538" spans="2:3" x14ac:dyDescent="0.3">
      <c r="B2538" s="187"/>
      <c r="C2538" s="186"/>
    </row>
    <row r="2539" spans="2:3" x14ac:dyDescent="0.3">
      <c r="B2539" s="187"/>
      <c r="C2539" s="186"/>
    </row>
    <row r="2540" spans="2:3" x14ac:dyDescent="0.3">
      <c r="B2540" s="187"/>
      <c r="C2540" s="186"/>
    </row>
    <row r="2541" spans="2:3" x14ac:dyDescent="0.3">
      <c r="B2541" s="187"/>
      <c r="C2541" s="186"/>
    </row>
    <row r="2542" spans="2:3" x14ac:dyDescent="0.3">
      <c r="B2542" s="187"/>
      <c r="C2542" s="186"/>
    </row>
    <row r="2543" spans="2:3" x14ac:dyDescent="0.3">
      <c r="B2543" s="187"/>
      <c r="C2543" s="186"/>
    </row>
    <row r="2544" spans="2:3" x14ac:dyDescent="0.3">
      <c r="B2544" s="187"/>
      <c r="C2544" s="186"/>
    </row>
    <row r="2545" spans="2:3" x14ac:dyDescent="0.3">
      <c r="B2545" s="187"/>
      <c r="C2545" s="186"/>
    </row>
    <row r="2546" spans="2:3" x14ac:dyDescent="0.3">
      <c r="B2546" s="187"/>
      <c r="C2546" s="186"/>
    </row>
    <row r="2547" spans="2:3" x14ac:dyDescent="0.3">
      <c r="B2547" s="187"/>
      <c r="C2547" s="186"/>
    </row>
    <row r="2548" spans="2:3" x14ac:dyDescent="0.3">
      <c r="B2548" s="187"/>
      <c r="C2548" s="186"/>
    </row>
    <row r="2549" spans="2:3" x14ac:dyDescent="0.3">
      <c r="B2549" s="187"/>
      <c r="C2549" s="186"/>
    </row>
    <row r="2550" spans="2:3" x14ac:dyDescent="0.3">
      <c r="B2550" s="187"/>
      <c r="C2550" s="186"/>
    </row>
    <row r="2551" spans="2:3" x14ac:dyDescent="0.3">
      <c r="B2551" s="187"/>
      <c r="C2551" s="186"/>
    </row>
    <row r="2552" spans="2:3" x14ac:dyDescent="0.3">
      <c r="B2552" s="187"/>
      <c r="C2552" s="186"/>
    </row>
    <row r="2553" spans="2:3" x14ac:dyDescent="0.3">
      <c r="B2553" s="187"/>
      <c r="C2553" s="186"/>
    </row>
    <row r="2554" spans="2:3" x14ac:dyDescent="0.3">
      <c r="B2554" s="187"/>
      <c r="C2554" s="186"/>
    </row>
    <row r="2555" spans="2:3" x14ac:dyDescent="0.3">
      <c r="B2555" s="187"/>
      <c r="C2555" s="186"/>
    </row>
    <row r="2556" spans="2:3" x14ac:dyDescent="0.3">
      <c r="B2556" s="187"/>
      <c r="C2556" s="186"/>
    </row>
    <row r="2557" spans="2:3" x14ac:dyDescent="0.3">
      <c r="B2557" s="187"/>
      <c r="C2557" s="186"/>
    </row>
    <row r="2558" spans="2:3" x14ac:dyDescent="0.3">
      <c r="B2558" s="187"/>
      <c r="C2558" s="186"/>
    </row>
    <row r="2559" spans="2:3" x14ac:dyDescent="0.3">
      <c r="B2559" s="187"/>
      <c r="C2559" s="186"/>
    </row>
    <row r="2560" spans="2:3" x14ac:dyDescent="0.3">
      <c r="B2560" s="187"/>
      <c r="C2560" s="186"/>
    </row>
    <row r="2561" spans="2:3" x14ac:dyDescent="0.3">
      <c r="B2561" s="187"/>
      <c r="C2561" s="186"/>
    </row>
    <row r="2562" spans="2:3" x14ac:dyDescent="0.3">
      <c r="B2562" s="187"/>
      <c r="C2562" s="186"/>
    </row>
    <row r="2563" spans="2:3" x14ac:dyDescent="0.3">
      <c r="B2563" s="187"/>
      <c r="C2563" s="186"/>
    </row>
    <row r="2564" spans="2:3" x14ac:dyDescent="0.3">
      <c r="B2564" s="187"/>
      <c r="C2564" s="186"/>
    </row>
    <row r="2565" spans="2:3" x14ac:dyDescent="0.3">
      <c r="B2565" s="187"/>
      <c r="C2565" s="186"/>
    </row>
    <row r="2566" spans="2:3" x14ac:dyDescent="0.3">
      <c r="B2566" s="187"/>
      <c r="C2566" s="186"/>
    </row>
    <row r="2567" spans="2:3" x14ac:dyDescent="0.3">
      <c r="B2567" s="187"/>
      <c r="C2567" s="186"/>
    </row>
    <row r="2568" spans="2:3" x14ac:dyDescent="0.3">
      <c r="B2568" s="187"/>
      <c r="C2568" s="186"/>
    </row>
    <row r="2569" spans="2:3" x14ac:dyDescent="0.3">
      <c r="B2569" s="187"/>
      <c r="C2569" s="186"/>
    </row>
    <row r="2570" spans="2:3" x14ac:dyDescent="0.3">
      <c r="B2570" s="187"/>
      <c r="C2570" s="186"/>
    </row>
    <row r="2571" spans="2:3" x14ac:dyDescent="0.3">
      <c r="B2571" s="187"/>
      <c r="C2571" s="186"/>
    </row>
    <row r="2572" spans="2:3" x14ac:dyDescent="0.3">
      <c r="B2572" s="187"/>
      <c r="C2572" s="186"/>
    </row>
    <row r="2573" spans="2:3" x14ac:dyDescent="0.3">
      <c r="B2573" s="187"/>
      <c r="C2573" s="186"/>
    </row>
    <row r="2574" spans="2:3" x14ac:dyDescent="0.3">
      <c r="B2574" s="187"/>
      <c r="C2574" s="186"/>
    </row>
    <row r="2575" spans="2:3" x14ac:dyDescent="0.3">
      <c r="B2575" s="187"/>
      <c r="C2575" s="186"/>
    </row>
    <row r="2576" spans="2:3" x14ac:dyDescent="0.3">
      <c r="B2576" s="187"/>
      <c r="C2576" s="186"/>
    </row>
    <row r="2577" spans="2:3" x14ac:dyDescent="0.3">
      <c r="B2577" s="187"/>
      <c r="C2577" s="186"/>
    </row>
    <row r="2578" spans="2:3" x14ac:dyDescent="0.3">
      <c r="B2578" s="187"/>
      <c r="C2578" s="186"/>
    </row>
    <row r="2579" spans="2:3" x14ac:dyDescent="0.3">
      <c r="B2579" s="187"/>
      <c r="C2579" s="186"/>
    </row>
    <row r="2580" spans="2:3" x14ac:dyDescent="0.3">
      <c r="B2580" s="187"/>
      <c r="C2580" s="186"/>
    </row>
    <row r="2581" spans="2:3" x14ac:dyDescent="0.3">
      <c r="B2581" s="187"/>
      <c r="C2581" s="186"/>
    </row>
    <row r="2582" spans="2:3" x14ac:dyDescent="0.3">
      <c r="B2582" s="187"/>
      <c r="C2582" s="186"/>
    </row>
    <row r="2583" spans="2:3" x14ac:dyDescent="0.3">
      <c r="B2583" s="187"/>
      <c r="C2583" s="186"/>
    </row>
    <row r="2584" spans="2:3" x14ac:dyDescent="0.3">
      <c r="B2584" s="187"/>
      <c r="C2584" s="186"/>
    </row>
    <row r="2585" spans="2:3" x14ac:dyDescent="0.3">
      <c r="B2585" s="187"/>
      <c r="C2585" s="186"/>
    </row>
    <row r="2586" spans="2:3" x14ac:dyDescent="0.3">
      <c r="B2586" s="187"/>
      <c r="C2586" s="186"/>
    </row>
    <row r="2587" spans="2:3" x14ac:dyDescent="0.3">
      <c r="B2587" s="187"/>
      <c r="C2587" s="186"/>
    </row>
    <row r="2588" spans="2:3" x14ac:dyDescent="0.3">
      <c r="B2588" s="187"/>
      <c r="C2588" s="186"/>
    </row>
    <row r="2589" spans="2:3" x14ac:dyDescent="0.3">
      <c r="B2589" s="187"/>
      <c r="C2589" s="186"/>
    </row>
    <row r="2590" spans="2:3" x14ac:dyDescent="0.3">
      <c r="B2590" s="187"/>
      <c r="C2590" s="186"/>
    </row>
    <row r="2591" spans="2:3" x14ac:dyDescent="0.3">
      <c r="B2591" s="187"/>
      <c r="C2591" s="186"/>
    </row>
    <row r="2592" spans="2:3" x14ac:dyDescent="0.3">
      <c r="B2592" s="187"/>
      <c r="C2592" s="186"/>
    </row>
    <row r="2593" spans="2:3" x14ac:dyDescent="0.3">
      <c r="B2593" s="187"/>
      <c r="C2593" s="186"/>
    </row>
    <row r="2594" spans="2:3" x14ac:dyDescent="0.3">
      <c r="B2594" s="187"/>
      <c r="C2594" s="186"/>
    </row>
    <row r="2595" spans="2:3" x14ac:dyDescent="0.3">
      <c r="B2595" s="187"/>
      <c r="C2595" s="186"/>
    </row>
    <row r="2596" spans="2:3" x14ac:dyDescent="0.3">
      <c r="B2596" s="187"/>
      <c r="C2596" s="186"/>
    </row>
    <row r="2597" spans="2:3" x14ac:dyDescent="0.3">
      <c r="B2597" s="187"/>
      <c r="C2597" s="186"/>
    </row>
    <row r="2598" spans="2:3" x14ac:dyDescent="0.3">
      <c r="B2598" s="187"/>
      <c r="C2598" s="186"/>
    </row>
    <row r="2599" spans="2:3" x14ac:dyDescent="0.3">
      <c r="B2599" s="187"/>
      <c r="C2599" s="186"/>
    </row>
    <row r="2600" spans="2:3" x14ac:dyDescent="0.3">
      <c r="B2600" s="187"/>
      <c r="C2600" s="186"/>
    </row>
    <row r="2601" spans="2:3" x14ac:dyDescent="0.3">
      <c r="B2601" s="187"/>
      <c r="C2601" s="186"/>
    </row>
    <row r="2602" spans="2:3" x14ac:dyDescent="0.3">
      <c r="B2602" s="187"/>
      <c r="C2602" s="186"/>
    </row>
    <row r="2603" spans="2:3" x14ac:dyDescent="0.3">
      <c r="B2603" s="187"/>
      <c r="C2603" s="186"/>
    </row>
    <row r="2604" spans="2:3" x14ac:dyDescent="0.3">
      <c r="B2604" s="187"/>
      <c r="C2604" s="186"/>
    </row>
    <row r="2605" spans="2:3" x14ac:dyDescent="0.3">
      <c r="B2605" s="187"/>
      <c r="C2605" s="186"/>
    </row>
    <row r="2606" spans="2:3" x14ac:dyDescent="0.3">
      <c r="B2606" s="187"/>
      <c r="C2606" s="186"/>
    </row>
    <row r="2607" spans="2:3" x14ac:dyDescent="0.3">
      <c r="B2607" s="187"/>
      <c r="C2607" s="186"/>
    </row>
    <row r="2608" spans="2:3" x14ac:dyDescent="0.3">
      <c r="B2608" s="187"/>
      <c r="C2608" s="186"/>
    </row>
    <row r="2609" spans="2:3" x14ac:dyDescent="0.3">
      <c r="B2609" s="187"/>
      <c r="C2609" s="186"/>
    </row>
    <row r="2610" spans="2:3" x14ac:dyDescent="0.3">
      <c r="B2610" s="187"/>
      <c r="C2610" s="186"/>
    </row>
    <row r="2611" spans="2:3" x14ac:dyDescent="0.3">
      <c r="B2611" s="187"/>
      <c r="C2611" s="186"/>
    </row>
    <row r="2612" spans="2:3" x14ac:dyDescent="0.3">
      <c r="B2612" s="187"/>
      <c r="C2612" s="186"/>
    </row>
    <row r="2613" spans="2:3" x14ac:dyDescent="0.3">
      <c r="B2613" s="187"/>
      <c r="C2613" s="186"/>
    </row>
    <row r="2614" spans="2:3" x14ac:dyDescent="0.3">
      <c r="B2614" s="187"/>
      <c r="C2614" s="186"/>
    </row>
    <row r="2615" spans="2:3" x14ac:dyDescent="0.3">
      <c r="B2615" s="187"/>
      <c r="C2615" s="186"/>
    </row>
    <row r="2616" spans="2:3" x14ac:dyDescent="0.3">
      <c r="B2616" s="187"/>
      <c r="C2616" s="186"/>
    </row>
    <row r="2617" spans="2:3" x14ac:dyDescent="0.3">
      <c r="B2617" s="187"/>
      <c r="C2617" s="186"/>
    </row>
    <row r="2618" spans="2:3" x14ac:dyDescent="0.3">
      <c r="B2618" s="187"/>
      <c r="C2618" s="186"/>
    </row>
    <row r="2619" spans="2:3" x14ac:dyDescent="0.3">
      <c r="B2619" s="187"/>
      <c r="C2619" s="186"/>
    </row>
    <row r="2620" spans="2:3" x14ac:dyDescent="0.3">
      <c r="B2620" s="187"/>
      <c r="C2620" s="186"/>
    </row>
    <row r="2621" spans="2:3" x14ac:dyDescent="0.3">
      <c r="B2621" s="187"/>
      <c r="C2621" s="186"/>
    </row>
    <row r="2622" spans="2:3" x14ac:dyDescent="0.3">
      <c r="B2622" s="187"/>
      <c r="C2622" s="186"/>
    </row>
    <row r="2623" spans="2:3" x14ac:dyDescent="0.3">
      <c r="B2623" s="187"/>
      <c r="C2623" s="186"/>
    </row>
    <row r="2624" spans="2:3" x14ac:dyDescent="0.3">
      <c r="B2624" s="187"/>
      <c r="C2624" s="186"/>
    </row>
    <row r="2625" spans="2:3" x14ac:dyDescent="0.3">
      <c r="B2625" s="187"/>
      <c r="C2625" s="186"/>
    </row>
    <row r="2626" spans="2:3" x14ac:dyDescent="0.3">
      <c r="B2626" s="187"/>
      <c r="C2626" s="186"/>
    </row>
    <row r="2627" spans="2:3" x14ac:dyDescent="0.3">
      <c r="B2627" s="187"/>
      <c r="C2627" s="186"/>
    </row>
    <row r="2628" spans="2:3" x14ac:dyDescent="0.3">
      <c r="B2628" s="187"/>
      <c r="C2628" s="186"/>
    </row>
    <row r="2629" spans="2:3" x14ac:dyDescent="0.3">
      <c r="B2629" s="187"/>
      <c r="C2629" s="186"/>
    </row>
    <row r="2630" spans="2:3" x14ac:dyDescent="0.3">
      <c r="B2630" s="187"/>
      <c r="C2630" s="186"/>
    </row>
    <row r="2631" spans="2:3" x14ac:dyDescent="0.3">
      <c r="B2631" s="187"/>
      <c r="C2631" s="186"/>
    </row>
    <row r="2632" spans="2:3" x14ac:dyDescent="0.3">
      <c r="B2632" s="187"/>
      <c r="C2632" s="186"/>
    </row>
    <row r="2633" spans="2:3" x14ac:dyDescent="0.3">
      <c r="B2633" s="187"/>
      <c r="C2633" s="186"/>
    </row>
    <row r="2634" spans="2:3" x14ac:dyDescent="0.3">
      <c r="B2634" s="187"/>
      <c r="C2634" s="186"/>
    </row>
    <row r="2635" spans="2:3" x14ac:dyDescent="0.3">
      <c r="B2635" s="187"/>
      <c r="C2635" s="186"/>
    </row>
    <row r="2636" spans="2:3" x14ac:dyDescent="0.3">
      <c r="B2636" s="187"/>
      <c r="C2636" s="186"/>
    </row>
    <row r="2637" spans="2:3" x14ac:dyDescent="0.3">
      <c r="B2637" s="187"/>
      <c r="C2637" s="186"/>
    </row>
    <row r="2638" spans="2:3" x14ac:dyDescent="0.3">
      <c r="B2638" s="187"/>
      <c r="C2638" s="186"/>
    </row>
    <row r="2639" spans="2:3" x14ac:dyDescent="0.3">
      <c r="B2639" s="187"/>
      <c r="C2639" s="186"/>
    </row>
    <row r="2640" spans="2:3" x14ac:dyDescent="0.3">
      <c r="B2640" s="187"/>
      <c r="C2640" s="186"/>
    </row>
    <row r="2641" spans="2:3" x14ac:dyDescent="0.3">
      <c r="B2641" s="187"/>
      <c r="C2641" s="186"/>
    </row>
    <row r="2642" spans="2:3" x14ac:dyDescent="0.3">
      <c r="B2642" s="187"/>
      <c r="C2642" s="186"/>
    </row>
    <row r="2643" spans="2:3" x14ac:dyDescent="0.3">
      <c r="B2643" s="187"/>
      <c r="C2643" s="186"/>
    </row>
    <row r="2644" spans="2:3" x14ac:dyDescent="0.3">
      <c r="B2644" s="187"/>
      <c r="C2644" s="186"/>
    </row>
    <row r="2645" spans="2:3" x14ac:dyDescent="0.3">
      <c r="B2645" s="187"/>
      <c r="C2645" s="186"/>
    </row>
    <row r="2646" spans="2:3" x14ac:dyDescent="0.3">
      <c r="B2646" s="187"/>
      <c r="C2646" s="186"/>
    </row>
    <row r="2647" spans="2:3" x14ac:dyDescent="0.3">
      <c r="B2647" s="187"/>
      <c r="C2647" s="186"/>
    </row>
    <row r="2648" spans="2:3" x14ac:dyDescent="0.3">
      <c r="B2648" s="187"/>
      <c r="C2648" s="186"/>
    </row>
    <row r="2649" spans="2:3" x14ac:dyDescent="0.3">
      <c r="B2649" s="187"/>
      <c r="C2649" s="186"/>
    </row>
    <row r="2650" spans="2:3" x14ac:dyDescent="0.3">
      <c r="B2650" s="187"/>
      <c r="C2650" s="186"/>
    </row>
    <row r="2651" spans="2:3" x14ac:dyDescent="0.3">
      <c r="B2651" s="187"/>
      <c r="C2651" s="186"/>
    </row>
    <row r="2652" spans="2:3" x14ac:dyDescent="0.3">
      <c r="B2652" s="187"/>
      <c r="C2652" s="186"/>
    </row>
    <row r="2653" spans="2:3" x14ac:dyDescent="0.3">
      <c r="B2653" s="187"/>
      <c r="C2653" s="186"/>
    </row>
    <row r="2654" spans="2:3" x14ac:dyDescent="0.3">
      <c r="B2654" s="187"/>
      <c r="C2654" s="186"/>
    </row>
    <row r="2655" spans="2:3" x14ac:dyDescent="0.3">
      <c r="B2655" s="187"/>
      <c r="C2655" s="186"/>
    </row>
    <row r="2656" spans="2:3" x14ac:dyDescent="0.3">
      <c r="B2656" s="187"/>
      <c r="C2656" s="186"/>
    </row>
    <row r="2657" spans="2:3" x14ac:dyDescent="0.3">
      <c r="B2657" s="187"/>
      <c r="C2657" s="186"/>
    </row>
    <row r="2658" spans="2:3" x14ac:dyDescent="0.3">
      <c r="B2658" s="187"/>
      <c r="C2658" s="186"/>
    </row>
    <row r="2659" spans="2:3" x14ac:dyDescent="0.3">
      <c r="B2659" s="187"/>
      <c r="C2659" s="186"/>
    </row>
    <row r="2660" spans="2:3" x14ac:dyDescent="0.3">
      <c r="B2660" s="187"/>
      <c r="C2660" s="186"/>
    </row>
    <row r="2661" spans="2:3" x14ac:dyDescent="0.3">
      <c r="B2661" s="187"/>
      <c r="C2661" s="186"/>
    </row>
    <row r="2662" spans="2:3" x14ac:dyDescent="0.3">
      <c r="B2662" s="187"/>
      <c r="C2662" s="186"/>
    </row>
    <row r="2663" spans="2:3" x14ac:dyDescent="0.3">
      <c r="B2663" s="187"/>
      <c r="C2663" s="186"/>
    </row>
    <row r="2664" spans="2:3" x14ac:dyDescent="0.3">
      <c r="B2664" s="187"/>
      <c r="C2664" s="186"/>
    </row>
    <row r="2665" spans="2:3" x14ac:dyDescent="0.3">
      <c r="B2665" s="187"/>
      <c r="C2665" s="186"/>
    </row>
    <row r="2666" spans="2:3" x14ac:dyDescent="0.3">
      <c r="B2666" s="187"/>
      <c r="C2666" s="186"/>
    </row>
    <row r="2667" spans="2:3" x14ac:dyDescent="0.3">
      <c r="B2667" s="187"/>
      <c r="C2667" s="186"/>
    </row>
    <row r="2668" spans="2:3" x14ac:dyDescent="0.3">
      <c r="B2668" s="187"/>
      <c r="C2668" s="186"/>
    </row>
    <row r="2669" spans="2:3" x14ac:dyDescent="0.3">
      <c r="B2669" s="187"/>
      <c r="C2669" s="186"/>
    </row>
    <row r="2670" spans="2:3" x14ac:dyDescent="0.3">
      <c r="B2670" s="187"/>
      <c r="C2670" s="186"/>
    </row>
    <row r="2671" spans="2:3" x14ac:dyDescent="0.3">
      <c r="B2671" s="187"/>
      <c r="C2671" s="186"/>
    </row>
    <row r="2672" spans="2:3" x14ac:dyDescent="0.3">
      <c r="B2672" s="187"/>
      <c r="C2672" s="186"/>
    </row>
    <row r="2673" spans="2:3" x14ac:dyDescent="0.3">
      <c r="B2673" s="187"/>
      <c r="C2673" s="186"/>
    </row>
    <row r="2674" spans="2:3" x14ac:dyDescent="0.3">
      <c r="B2674" s="187"/>
      <c r="C2674" s="186"/>
    </row>
    <row r="2675" spans="2:3" x14ac:dyDescent="0.3">
      <c r="B2675" s="187"/>
      <c r="C2675" s="186"/>
    </row>
    <row r="2676" spans="2:3" x14ac:dyDescent="0.3">
      <c r="B2676" s="187"/>
      <c r="C2676" s="186"/>
    </row>
    <row r="2677" spans="2:3" x14ac:dyDescent="0.3">
      <c r="B2677" s="187"/>
      <c r="C2677" s="186"/>
    </row>
    <row r="2678" spans="2:3" x14ac:dyDescent="0.3">
      <c r="B2678" s="187"/>
      <c r="C2678" s="186"/>
    </row>
    <row r="2679" spans="2:3" x14ac:dyDescent="0.3">
      <c r="B2679" s="187"/>
      <c r="C2679" s="186"/>
    </row>
    <row r="2680" spans="2:3" x14ac:dyDescent="0.3">
      <c r="B2680" s="187"/>
      <c r="C2680" s="186"/>
    </row>
    <row r="2681" spans="2:3" x14ac:dyDescent="0.3">
      <c r="B2681" s="187"/>
      <c r="C2681" s="186"/>
    </row>
    <row r="2682" spans="2:3" x14ac:dyDescent="0.3">
      <c r="B2682" s="187"/>
      <c r="C2682" s="186"/>
    </row>
    <row r="2683" spans="2:3" x14ac:dyDescent="0.3">
      <c r="B2683" s="187"/>
      <c r="C2683" s="186"/>
    </row>
    <row r="2684" spans="2:3" x14ac:dyDescent="0.3">
      <c r="B2684" s="187"/>
      <c r="C2684" s="186"/>
    </row>
    <row r="2685" spans="2:3" x14ac:dyDescent="0.3">
      <c r="B2685" s="187"/>
      <c r="C2685" s="186"/>
    </row>
    <row r="2686" spans="2:3" x14ac:dyDescent="0.3">
      <c r="B2686" s="187"/>
      <c r="C2686" s="186"/>
    </row>
    <row r="2687" spans="2:3" x14ac:dyDescent="0.3">
      <c r="B2687" s="187"/>
      <c r="C2687" s="186"/>
    </row>
    <row r="2688" spans="2:3" x14ac:dyDescent="0.3">
      <c r="B2688" s="187"/>
      <c r="C2688" s="186"/>
    </row>
    <row r="2689" spans="2:3" x14ac:dyDescent="0.3">
      <c r="B2689" s="187"/>
      <c r="C2689" s="186"/>
    </row>
    <row r="2690" spans="2:3" x14ac:dyDescent="0.3">
      <c r="B2690" s="187"/>
      <c r="C2690" s="186"/>
    </row>
    <row r="2691" spans="2:3" x14ac:dyDescent="0.3">
      <c r="B2691" s="187"/>
      <c r="C2691" s="186"/>
    </row>
    <row r="2692" spans="2:3" x14ac:dyDescent="0.3">
      <c r="B2692" s="187"/>
      <c r="C2692" s="186"/>
    </row>
    <row r="2693" spans="2:3" x14ac:dyDescent="0.3">
      <c r="B2693" s="187"/>
      <c r="C2693" s="186"/>
    </row>
    <row r="2694" spans="2:3" x14ac:dyDescent="0.3">
      <c r="B2694" s="187"/>
      <c r="C2694" s="186"/>
    </row>
    <row r="2695" spans="2:3" x14ac:dyDescent="0.3">
      <c r="B2695" s="187"/>
      <c r="C2695" s="186"/>
    </row>
    <row r="2696" spans="2:3" x14ac:dyDescent="0.3">
      <c r="B2696" s="187"/>
      <c r="C2696" s="186"/>
    </row>
    <row r="2697" spans="2:3" x14ac:dyDescent="0.3">
      <c r="B2697" s="187"/>
      <c r="C2697" s="186"/>
    </row>
    <row r="2698" spans="2:3" x14ac:dyDescent="0.3">
      <c r="B2698" s="187"/>
      <c r="C2698" s="186"/>
    </row>
    <row r="2699" spans="2:3" x14ac:dyDescent="0.3">
      <c r="B2699" s="187"/>
      <c r="C2699" s="186"/>
    </row>
    <row r="2700" spans="2:3" x14ac:dyDescent="0.3">
      <c r="B2700" s="187"/>
      <c r="C2700" s="186"/>
    </row>
    <row r="2701" spans="2:3" x14ac:dyDescent="0.3">
      <c r="B2701" s="187"/>
      <c r="C2701" s="186"/>
    </row>
    <row r="2702" spans="2:3" x14ac:dyDescent="0.3">
      <c r="B2702" s="187"/>
      <c r="C2702" s="186"/>
    </row>
    <row r="2703" spans="2:3" x14ac:dyDescent="0.3">
      <c r="B2703" s="187"/>
      <c r="C2703" s="186"/>
    </row>
    <row r="2704" spans="2:3" x14ac:dyDescent="0.3">
      <c r="B2704" s="187"/>
      <c r="C2704" s="186"/>
    </row>
    <row r="2705" spans="2:3" x14ac:dyDescent="0.3">
      <c r="B2705" s="187"/>
      <c r="C2705" s="186"/>
    </row>
    <row r="2706" spans="2:3" x14ac:dyDescent="0.3">
      <c r="B2706" s="187"/>
      <c r="C2706" s="186"/>
    </row>
    <row r="2707" spans="2:3" x14ac:dyDescent="0.3">
      <c r="B2707" s="187"/>
      <c r="C2707" s="186"/>
    </row>
    <row r="2708" spans="2:3" x14ac:dyDescent="0.3">
      <c r="B2708" s="187"/>
      <c r="C2708" s="186"/>
    </row>
    <row r="2709" spans="2:3" x14ac:dyDescent="0.3">
      <c r="B2709" s="187"/>
      <c r="C2709" s="186"/>
    </row>
    <row r="2710" spans="2:3" x14ac:dyDescent="0.3">
      <c r="B2710" s="187"/>
      <c r="C2710" s="186"/>
    </row>
    <row r="2711" spans="2:3" x14ac:dyDescent="0.3">
      <c r="B2711" s="187"/>
      <c r="C2711" s="186"/>
    </row>
    <row r="2712" spans="2:3" x14ac:dyDescent="0.3">
      <c r="B2712" s="187"/>
      <c r="C2712" s="186"/>
    </row>
    <row r="2713" spans="2:3" x14ac:dyDescent="0.3">
      <c r="B2713" s="187"/>
      <c r="C2713" s="186"/>
    </row>
    <row r="2714" spans="2:3" x14ac:dyDescent="0.3">
      <c r="B2714" s="187"/>
      <c r="C2714" s="186"/>
    </row>
    <row r="2715" spans="2:3" x14ac:dyDescent="0.3">
      <c r="B2715" s="187"/>
      <c r="C2715" s="186"/>
    </row>
    <row r="2716" spans="2:3" x14ac:dyDescent="0.3">
      <c r="B2716" s="187"/>
      <c r="C2716" s="186"/>
    </row>
    <row r="2717" spans="2:3" x14ac:dyDescent="0.3">
      <c r="B2717" s="187"/>
      <c r="C2717" s="186"/>
    </row>
    <row r="2718" spans="2:3" x14ac:dyDescent="0.3">
      <c r="B2718" s="187"/>
      <c r="C2718" s="186"/>
    </row>
    <row r="2719" spans="2:3" x14ac:dyDescent="0.3">
      <c r="B2719" s="187"/>
      <c r="C2719" s="186"/>
    </row>
    <row r="2720" spans="2:3" x14ac:dyDescent="0.3">
      <c r="B2720" s="187"/>
      <c r="C2720" s="186"/>
    </row>
    <row r="2721" spans="2:3" x14ac:dyDescent="0.3">
      <c r="B2721" s="187"/>
      <c r="C2721" s="186"/>
    </row>
    <row r="2722" spans="2:3" x14ac:dyDescent="0.3">
      <c r="B2722" s="187"/>
      <c r="C2722" s="186"/>
    </row>
    <row r="2723" spans="2:3" x14ac:dyDescent="0.3">
      <c r="B2723" s="187"/>
      <c r="C2723" s="186"/>
    </row>
    <row r="2724" spans="2:3" x14ac:dyDescent="0.3">
      <c r="B2724" s="187"/>
      <c r="C2724" s="186"/>
    </row>
    <row r="2725" spans="2:3" x14ac:dyDescent="0.3">
      <c r="B2725" s="187"/>
      <c r="C2725" s="186"/>
    </row>
    <row r="2726" spans="2:3" x14ac:dyDescent="0.3">
      <c r="B2726" s="187"/>
      <c r="C2726" s="186"/>
    </row>
    <row r="2727" spans="2:3" x14ac:dyDescent="0.3">
      <c r="B2727" s="187"/>
      <c r="C2727" s="186"/>
    </row>
    <row r="2728" spans="2:3" x14ac:dyDescent="0.3">
      <c r="B2728" s="187"/>
      <c r="C2728" s="186"/>
    </row>
    <row r="2729" spans="2:3" x14ac:dyDescent="0.3">
      <c r="B2729" s="187"/>
      <c r="C2729" s="186"/>
    </row>
    <row r="2730" spans="2:3" x14ac:dyDescent="0.3">
      <c r="B2730" s="187"/>
      <c r="C2730" s="186"/>
    </row>
    <row r="2731" spans="2:3" x14ac:dyDescent="0.3">
      <c r="B2731" s="187"/>
      <c r="C2731" s="186"/>
    </row>
    <row r="2732" spans="2:3" x14ac:dyDescent="0.3">
      <c r="B2732" s="187"/>
      <c r="C2732" s="186"/>
    </row>
    <row r="2733" spans="2:3" x14ac:dyDescent="0.3">
      <c r="B2733" s="187"/>
      <c r="C2733" s="186"/>
    </row>
    <row r="2734" spans="2:3" x14ac:dyDescent="0.3">
      <c r="B2734" s="187"/>
      <c r="C2734" s="186"/>
    </row>
    <row r="2735" spans="2:3" x14ac:dyDescent="0.3">
      <c r="B2735" s="187"/>
      <c r="C2735" s="186"/>
    </row>
    <row r="2736" spans="2:3" x14ac:dyDescent="0.3">
      <c r="B2736" s="187"/>
      <c r="C2736" s="186"/>
    </row>
    <row r="2737" spans="2:3" x14ac:dyDescent="0.3">
      <c r="B2737" s="187"/>
      <c r="C2737" s="186"/>
    </row>
    <row r="2738" spans="2:3" x14ac:dyDescent="0.3">
      <c r="B2738" s="187"/>
      <c r="C2738" s="186"/>
    </row>
    <row r="2739" spans="2:3" x14ac:dyDescent="0.3">
      <c r="B2739" s="187"/>
      <c r="C2739" s="186"/>
    </row>
    <row r="2740" spans="2:3" x14ac:dyDescent="0.3">
      <c r="B2740" s="187"/>
      <c r="C2740" s="186"/>
    </row>
    <row r="2741" spans="2:3" x14ac:dyDescent="0.3">
      <c r="B2741" s="187"/>
      <c r="C2741" s="186"/>
    </row>
    <row r="2742" spans="2:3" x14ac:dyDescent="0.3">
      <c r="B2742" s="187"/>
      <c r="C2742" s="186"/>
    </row>
    <row r="2743" spans="2:3" x14ac:dyDescent="0.3">
      <c r="B2743" s="187"/>
      <c r="C2743" s="186"/>
    </row>
    <row r="2744" spans="2:3" x14ac:dyDescent="0.3">
      <c r="B2744" s="187"/>
      <c r="C2744" s="186"/>
    </row>
    <row r="2745" spans="2:3" x14ac:dyDescent="0.3">
      <c r="B2745" s="187"/>
      <c r="C2745" s="186"/>
    </row>
    <row r="2746" spans="2:3" x14ac:dyDescent="0.3">
      <c r="B2746" s="187"/>
      <c r="C2746" s="186"/>
    </row>
    <row r="2747" spans="2:3" x14ac:dyDescent="0.3">
      <c r="B2747" s="187"/>
      <c r="C2747" s="186"/>
    </row>
    <row r="2748" spans="2:3" x14ac:dyDescent="0.3">
      <c r="B2748" s="187"/>
      <c r="C2748" s="186"/>
    </row>
    <row r="2749" spans="2:3" x14ac:dyDescent="0.3">
      <c r="B2749" s="187"/>
      <c r="C2749" s="186"/>
    </row>
    <row r="2750" spans="2:3" x14ac:dyDescent="0.3">
      <c r="B2750" s="187"/>
      <c r="C2750" s="186"/>
    </row>
    <row r="2751" spans="2:3" x14ac:dyDescent="0.3">
      <c r="B2751" s="187"/>
      <c r="C2751" s="186"/>
    </row>
    <row r="2752" spans="2:3" x14ac:dyDescent="0.3">
      <c r="B2752" s="187"/>
      <c r="C2752" s="186"/>
    </row>
    <row r="2753" spans="2:3" x14ac:dyDescent="0.3">
      <c r="B2753" s="187"/>
      <c r="C2753" s="186"/>
    </row>
    <row r="2754" spans="2:3" x14ac:dyDescent="0.3">
      <c r="B2754" s="187"/>
      <c r="C2754" s="186"/>
    </row>
    <row r="2755" spans="2:3" x14ac:dyDescent="0.3">
      <c r="B2755" s="187"/>
      <c r="C2755" s="186"/>
    </row>
    <row r="2756" spans="2:3" x14ac:dyDescent="0.3">
      <c r="B2756" s="187"/>
      <c r="C2756" s="186"/>
    </row>
    <row r="2757" spans="2:3" x14ac:dyDescent="0.3">
      <c r="B2757" s="187"/>
      <c r="C2757" s="186"/>
    </row>
    <row r="2758" spans="2:3" x14ac:dyDescent="0.3">
      <c r="B2758" s="187"/>
      <c r="C2758" s="186"/>
    </row>
    <row r="2759" spans="2:3" x14ac:dyDescent="0.3">
      <c r="B2759" s="187"/>
      <c r="C2759" s="186"/>
    </row>
    <row r="2760" spans="2:3" x14ac:dyDescent="0.3">
      <c r="B2760" s="187"/>
      <c r="C2760" s="186"/>
    </row>
    <row r="2761" spans="2:3" x14ac:dyDescent="0.3">
      <c r="B2761" s="187"/>
      <c r="C2761" s="186"/>
    </row>
    <row r="2762" spans="2:3" x14ac:dyDescent="0.3">
      <c r="B2762" s="187"/>
      <c r="C2762" s="186"/>
    </row>
    <row r="2763" spans="2:3" x14ac:dyDescent="0.3">
      <c r="B2763" s="187"/>
      <c r="C2763" s="186"/>
    </row>
    <row r="2764" spans="2:3" x14ac:dyDescent="0.3">
      <c r="B2764" s="187"/>
      <c r="C2764" s="186"/>
    </row>
    <row r="2765" spans="2:3" x14ac:dyDescent="0.3">
      <c r="B2765" s="187"/>
      <c r="C2765" s="186"/>
    </row>
    <row r="2766" spans="2:3" x14ac:dyDescent="0.3">
      <c r="B2766" s="187"/>
      <c r="C2766" s="186"/>
    </row>
    <row r="2767" spans="2:3" x14ac:dyDescent="0.3">
      <c r="B2767" s="187"/>
      <c r="C2767" s="186"/>
    </row>
    <row r="2768" spans="2:3" x14ac:dyDescent="0.3">
      <c r="B2768" s="187"/>
      <c r="C2768" s="186"/>
    </row>
    <row r="2769" spans="2:3" x14ac:dyDescent="0.3">
      <c r="B2769" s="187"/>
      <c r="C2769" s="186"/>
    </row>
    <row r="2770" spans="2:3" x14ac:dyDescent="0.3">
      <c r="B2770" s="187"/>
      <c r="C2770" s="186"/>
    </row>
    <row r="2771" spans="2:3" x14ac:dyDescent="0.3">
      <c r="B2771" s="187"/>
      <c r="C2771" s="186"/>
    </row>
    <row r="2772" spans="2:3" x14ac:dyDescent="0.3">
      <c r="B2772" s="187"/>
      <c r="C2772" s="186"/>
    </row>
    <row r="2773" spans="2:3" x14ac:dyDescent="0.3">
      <c r="B2773" s="187"/>
      <c r="C2773" s="186"/>
    </row>
    <row r="2774" spans="2:3" x14ac:dyDescent="0.3">
      <c r="B2774" s="187"/>
      <c r="C2774" s="186"/>
    </row>
    <row r="2775" spans="2:3" x14ac:dyDescent="0.3">
      <c r="B2775" s="187"/>
      <c r="C2775" s="186"/>
    </row>
    <row r="2776" spans="2:3" x14ac:dyDescent="0.3">
      <c r="B2776" s="187"/>
      <c r="C2776" s="186"/>
    </row>
    <row r="2777" spans="2:3" x14ac:dyDescent="0.3">
      <c r="B2777" s="187"/>
      <c r="C2777" s="186"/>
    </row>
    <row r="2778" spans="2:3" x14ac:dyDescent="0.3">
      <c r="B2778" s="187"/>
      <c r="C2778" s="186"/>
    </row>
    <row r="2779" spans="2:3" x14ac:dyDescent="0.3">
      <c r="B2779" s="187"/>
      <c r="C2779" s="186"/>
    </row>
    <row r="2780" spans="2:3" x14ac:dyDescent="0.3">
      <c r="B2780" s="187"/>
      <c r="C2780" s="186"/>
    </row>
    <row r="2781" spans="2:3" x14ac:dyDescent="0.3">
      <c r="B2781" s="187"/>
      <c r="C2781" s="186"/>
    </row>
    <row r="2782" spans="2:3" x14ac:dyDescent="0.3">
      <c r="B2782" s="187"/>
      <c r="C2782" s="186"/>
    </row>
    <row r="2783" spans="2:3" x14ac:dyDescent="0.3">
      <c r="B2783" s="187"/>
      <c r="C2783" s="186"/>
    </row>
    <row r="2784" spans="2:3" x14ac:dyDescent="0.3">
      <c r="B2784" s="187"/>
      <c r="C2784" s="186"/>
    </row>
    <row r="2785" spans="2:3" x14ac:dyDescent="0.3">
      <c r="B2785" s="187"/>
      <c r="C2785" s="186"/>
    </row>
    <row r="2786" spans="2:3" x14ac:dyDescent="0.3">
      <c r="B2786" s="187"/>
      <c r="C2786" s="186"/>
    </row>
    <row r="2787" spans="2:3" x14ac:dyDescent="0.3">
      <c r="B2787" s="187"/>
      <c r="C2787" s="186"/>
    </row>
    <row r="2788" spans="2:3" x14ac:dyDescent="0.3">
      <c r="B2788" s="187"/>
      <c r="C2788" s="186"/>
    </row>
    <row r="2789" spans="2:3" x14ac:dyDescent="0.3">
      <c r="B2789" s="187"/>
      <c r="C2789" s="186"/>
    </row>
    <row r="2790" spans="2:3" x14ac:dyDescent="0.3">
      <c r="B2790" s="187"/>
      <c r="C2790" s="186"/>
    </row>
    <row r="2791" spans="2:3" x14ac:dyDescent="0.3">
      <c r="B2791" s="187"/>
      <c r="C2791" s="186"/>
    </row>
    <row r="2792" spans="2:3" x14ac:dyDescent="0.3">
      <c r="B2792" s="187"/>
      <c r="C2792" s="186"/>
    </row>
    <row r="2793" spans="2:3" x14ac:dyDescent="0.3">
      <c r="B2793" s="187"/>
      <c r="C2793" s="186"/>
    </row>
    <row r="2794" spans="2:3" x14ac:dyDescent="0.3">
      <c r="B2794" s="187"/>
      <c r="C2794" s="186"/>
    </row>
    <row r="2795" spans="2:3" x14ac:dyDescent="0.3">
      <c r="B2795" s="187"/>
      <c r="C2795" s="186"/>
    </row>
    <row r="2796" spans="2:3" x14ac:dyDescent="0.3">
      <c r="B2796" s="187"/>
      <c r="C2796" s="186"/>
    </row>
    <row r="2797" spans="2:3" x14ac:dyDescent="0.3">
      <c r="B2797" s="187"/>
      <c r="C2797" s="186"/>
    </row>
    <row r="2798" spans="2:3" x14ac:dyDescent="0.3">
      <c r="B2798" s="187"/>
      <c r="C2798" s="186"/>
    </row>
    <row r="2799" spans="2:3" x14ac:dyDescent="0.3">
      <c r="B2799" s="187"/>
      <c r="C2799" s="186"/>
    </row>
    <row r="2800" spans="2:3" x14ac:dyDescent="0.3">
      <c r="B2800" s="187"/>
      <c r="C2800" s="186"/>
    </row>
    <row r="2801" spans="2:3" x14ac:dyDescent="0.3">
      <c r="B2801" s="187"/>
      <c r="C2801" s="186"/>
    </row>
    <row r="2802" spans="2:3" x14ac:dyDescent="0.3">
      <c r="B2802" s="187"/>
      <c r="C2802" s="186"/>
    </row>
    <row r="2803" spans="2:3" x14ac:dyDescent="0.3">
      <c r="B2803" s="187"/>
      <c r="C2803" s="186"/>
    </row>
    <row r="2804" spans="2:3" x14ac:dyDescent="0.3">
      <c r="B2804" s="187"/>
      <c r="C2804" s="186"/>
    </row>
    <row r="2805" spans="2:3" x14ac:dyDescent="0.3">
      <c r="B2805" s="187"/>
      <c r="C2805" s="186"/>
    </row>
    <row r="2806" spans="2:3" x14ac:dyDescent="0.3">
      <c r="B2806" s="187"/>
      <c r="C2806" s="186"/>
    </row>
    <row r="2807" spans="2:3" x14ac:dyDescent="0.3">
      <c r="B2807" s="187"/>
      <c r="C2807" s="186"/>
    </row>
    <row r="2808" spans="2:3" x14ac:dyDescent="0.3">
      <c r="B2808" s="187"/>
      <c r="C2808" s="186"/>
    </row>
    <row r="2809" spans="2:3" x14ac:dyDescent="0.3">
      <c r="B2809" s="187"/>
      <c r="C2809" s="186"/>
    </row>
    <row r="2810" spans="2:3" x14ac:dyDescent="0.3">
      <c r="B2810" s="187"/>
      <c r="C2810" s="186"/>
    </row>
    <row r="2811" spans="2:3" x14ac:dyDescent="0.3">
      <c r="B2811" s="187"/>
      <c r="C2811" s="186"/>
    </row>
    <row r="2812" spans="2:3" x14ac:dyDescent="0.3">
      <c r="B2812" s="187"/>
      <c r="C2812" s="186"/>
    </row>
    <row r="2813" spans="2:3" x14ac:dyDescent="0.3">
      <c r="B2813" s="187"/>
      <c r="C2813" s="186"/>
    </row>
    <row r="2814" spans="2:3" x14ac:dyDescent="0.3">
      <c r="B2814" s="187"/>
      <c r="C2814" s="186"/>
    </row>
    <row r="2815" spans="2:3" x14ac:dyDescent="0.3">
      <c r="B2815" s="187"/>
      <c r="C2815" s="186"/>
    </row>
    <row r="2816" spans="2:3" x14ac:dyDescent="0.3">
      <c r="B2816" s="187"/>
      <c r="C2816" s="186"/>
    </row>
    <row r="2817" spans="2:3" x14ac:dyDescent="0.3">
      <c r="B2817" s="187"/>
      <c r="C2817" s="186"/>
    </row>
    <row r="2818" spans="2:3" x14ac:dyDescent="0.3">
      <c r="B2818" s="187"/>
      <c r="C2818" s="186"/>
    </row>
    <row r="2819" spans="2:3" x14ac:dyDescent="0.3">
      <c r="B2819" s="187"/>
      <c r="C2819" s="186"/>
    </row>
    <row r="2820" spans="2:3" x14ac:dyDescent="0.3">
      <c r="B2820" s="187"/>
      <c r="C2820" s="186"/>
    </row>
    <row r="2821" spans="2:3" x14ac:dyDescent="0.3">
      <c r="B2821" s="187"/>
      <c r="C2821" s="186"/>
    </row>
    <row r="2822" spans="2:3" x14ac:dyDescent="0.3">
      <c r="B2822" s="187"/>
      <c r="C2822" s="186"/>
    </row>
    <row r="2823" spans="2:3" x14ac:dyDescent="0.3">
      <c r="B2823" s="187"/>
      <c r="C2823" s="186"/>
    </row>
    <row r="2824" spans="2:3" x14ac:dyDescent="0.3">
      <c r="B2824" s="187"/>
      <c r="C2824" s="186"/>
    </row>
    <row r="2825" spans="2:3" x14ac:dyDescent="0.3">
      <c r="B2825" s="187"/>
      <c r="C2825" s="186"/>
    </row>
    <row r="2826" spans="2:3" x14ac:dyDescent="0.3">
      <c r="B2826" s="187"/>
      <c r="C2826" s="186"/>
    </row>
    <row r="2827" spans="2:3" x14ac:dyDescent="0.3">
      <c r="B2827" s="187"/>
      <c r="C2827" s="186"/>
    </row>
    <row r="2828" spans="2:3" x14ac:dyDescent="0.3">
      <c r="B2828" s="187"/>
      <c r="C2828" s="186"/>
    </row>
    <row r="2829" spans="2:3" x14ac:dyDescent="0.3">
      <c r="B2829" s="187"/>
      <c r="C2829" s="186"/>
    </row>
    <row r="2830" spans="2:3" x14ac:dyDescent="0.3">
      <c r="B2830" s="187"/>
      <c r="C2830" s="186"/>
    </row>
    <row r="2831" spans="2:3" x14ac:dyDescent="0.3">
      <c r="B2831" s="187"/>
      <c r="C2831" s="186"/>
    </row>
    <row r="2832" spans="2:3" x14ac:dyDescent="0.3">
      <c r="B2832" s="187"/>
      <c r="C2832" s="186"/>
    </row>
    <row r="2833" spans="2:3" x14ac:dyDescent="0.3">
      <c r="B2833" s="187"/>
      <c r="C2833" s="186"/>
    </row>
    <row r="2834" spans="2:3" x14ac:dyDescent="0.3">
      <c r="B2834" s="187"/>
      <c r="C2834" s="186"/>
    </row>
    <row r="2835" spans="2:3" x14ac:dyDescent="0.3">
      <c r="B2835" s="187"/>
      <c r="C2835" s="186"/>
    </row>
    <row r="2836" spans="2:3" x14ac:dyDescent="0.3">
      <c r="B2836" s="187"/>
      <c r="C2836" s="186"/>
    </row>
    <row r="2837" spans="2:3" x14ac:dyDescent="0.3">
      <c r="B2837" s="187"/>
      <c r="C2837" s="186"/>
    </row>
    <row r="2838" spans="2:3" x14ac:dyDescent="0.3">
      <c r="B2838" s="187"/>
      <c r="C2838" s="186"/>
    </row>
    <row r="2839" spans="2:3" x14ac:dyDescent="0.3">
      <c r="B2839" s="187"/>
      <c r="C2839" s="186"/>
    </row>
    <row r="2840" spans="2:3" x14ac:dyDescent="0.3">
      <c r="B2840" s="187"/>
      <c r="C2840" s="186"/>
    </row>
    <row r="2841" spans="2:3" x14ac:dyDescent="0.3">
      <c r="B2841" s="187"/>
      <c r="C2841" s="186"/>
    </row>
    <row r="2842" spans="2:3" x14ac:dyDescent="0.3">
      <c r="B2842" s="187"/>
      <c r="C2842" s="186"/>
    </row>
    <row r="2843" spans="2:3" x14ac:dyDescent="0.3">
      <c r="B2843" s="187"/>
      <c r="C2843" s="186"/>
    </row>
    <row r="2844" spans="2:3" x14ac:dyDescent="0.3">
      <c r="B2844" s="187"/>
      <c r="C2844" s="186"/>
    </row>
    <row r="2845" spans="2:3" x14ac:dyDescent="0.3">
      <c r="B2845" s="187"/>
      <c r="C2845" s="186"/>
    </row>
    <row r="2846" spans="2:3" x14ac:dyDescent="0.3">
      <c r="B2846" s="187"/>
      <c r="C2846" s="186"/>
    </row>
    <row r="2847" spans="2:3" x14ac:dyDescent="0.3">
      <c r="B2847" s="187"/>
      <c r="C2847" s="186"/>
    </row>
    <row r="2848" spans="2:3" x14ac:dyDescent="0.3">
      <c r="B2848" s="187"/>
      <c r="C2848" s="186"/>
    </row>
    <row r="2849" spans="2:3" x14ac:dyDescent="0.3">
      <c r="B2849" s="187"/>
      <c r="C2849" s="186"/>
    </row>
    <row r="2850" spans="2:3" x14ac:dyDescent="0.3">
      <c r="B2850" s="187"/>
      <c r="C2850" s="186"/>
    </row>
    <row r="2851" spans="2:3" x14ac:dyDescent="0.3">
      <c r="B2851" s="187"/>
      <c r="C2851" s="186"/>
    </row>
    <row r="2852" spans="2:3" x14ac:dyDescent="0.3">
      <c r="B2852" s="187"/>
      <c r="C2852" s="186"/>
    </row>
    <row r="2853" spans="2:3" x14ac:dyDescent="0.3">
      <c r="B2853" s="187"/>
      <c r="C2853" s="186"/>
    </row>
    <row r="2854" spans="2:3" x14ac:dyDescent="0.3">
      <c r="B2854" s="187"/>
      <c r="C2854" s="186"/>
    </row>
    <row r="2855" spans="2:3" x14ac:dyDescent="0.3">
      <c r="B2855" s="187"/>
      <c r="C2855" s="186"/>
    </row>
    <row r="2856" spans="2:3" x14ac:dyDescent="0.3">
      <c r="B2856" s="187"/>
      <c r="C2856" s="186"/>
    </row>
    <row r="2857" spans="2:3" x14ac:dyDescent="0.3">
      <c r="B2857" s="187"/>
      <c r="C2857" s="186"/>
    </row>
    <row r="2858" spans="2:3" x14ac:dyDescent="0.3">
      <c r="B2858" s="187"/>
      <c r="C2858" s="186"/>
    </row>
    <row r="2859" spans="2:3" x14ac:dyDescent="0.3">
      <c r="B2859" s="187"/>
      <c r="C2859" s="186"/>
    </row>
    <row r="2860" spans="2:3" x14ac:dyDescent="0.3">
      <c r="B2860" s="187"/>
      <c r="C2860" s="186"/>
    </row>
    <row r="2861" spans="2:3" x14ac:dyDescent="0.3">
      <c r="B2861" s="187"/>
      <c r="C2861" s="186"/>
    </row>
    <row r="2862" spans="2:3" x14ac:dyDescent="0.3">
      <c r="B2862" s="187"/>
      <c r="C2862" s="186"/>
    </row>
    <row r="2863" spans="2:3" x14ac:dyDescent="0.3">
      <c r="B2863" s="187"/>
      <c r="C2863" s="186"/>
    </row>
    <row r="2864" spans="2:3" x14ac:dyDescent="0.3">
      <c r="B2864" s="187"/>
      <c r="C2864" s="186"/>
    </row>
    <row r="2865" spans="2:3" x14ac:dyDescent="0.3">
      <c r="B2865" s="187"/>
      <c r="C2865" s="186"/>
    </row>
    <row r="2866" spans="2:3" x14ac:dyDescent="0.3">
      <c r="B2866" s="187"/>
      <c r="C2866" s="186"/>
    </row>
    <row r="2867" spans="2:3" x14ac:dyDescent="0.3">
      <c r="B2867" s="187"/>
      <c r="C2867" s="186"/>
    </row>
    <row r="2868" spans="2:3" x14ac:dyDescent="0.3">
      <c r="B2868" s="187"/>
      <c r="C2868" s="186"/>
    </row>
    <row r="2869" spans="2:3" x14ac:dyDescent="0.3">
      <c r="B2869" s="187"/>
      <c r="C2869" s="186"/>
    </row>
    <row r="2870" spans="2:3" x14ac:dyDescent="0.3">
      <c r="B2870" s="187"/>
      <c r="C2870" s="186"/>
    </row>
    <row r="2871" spans="2:3" x14ac:dyDescent="0.3">
      <c r="B2871" s="187"/>
      <c r="C2871" s="186"/>
    </row>
    <row r="2872" spans="2:3" x14ac:dyDescent="0.3">
      <c r="B2872" s="187"/>
      <c r="C2872" s="186"/>
    </row>
    <row r="2873" spans="2:3" x14ac:dyDescent="0.3">
      <c r="B2873" s="187"/>
      <c r="C2873" s="186"/>
    </row>
    <row r="2874" spans="2:3" x14ac:dyDescent="0.3">
      <c r="B2874" s="187"/>
      <c r="C2874" s="186"/>
    </row>
    <row r="2875" spans="2:3" x14ac:dyDescent="0.3">
      <c r="B2875" s="187"/>
      <c r="C2875" s="186"/>
    </row>
    <row r="2876" spans="2:3" x14ac:dyDescent="0.3">
      <c r="B2876" s="187"/>
      <c r="C2876" s="186"/>
    </row>
    <row r="2877" spans="2:3" x14ac:dyDescent="0.3">
      <c r="B2877" s="187"/>
      <c r="C2877" s="186"/>
    </row>
    <row r="2878" spans="2:3" x14ac:dyDescent="0.3">
      <c r="B2878" s="187"/>
      <c r="C2878" s="186"/>
    </row>
    <row r="2879" spans="2:3" x14ac:dyDescent="0.3">
      <c r="B2879" s="187"/>
      <c r="C2879" s="186"/>
    </row>
    <row r="2880" spans="2:3" x14ac:dyDescent="0.3">
      <c r="B2880" s="187"/>
      <c r="C2880" s="186"/>
    </row>
    <row r="2881" spans="2:3" x14ac:dyDescent="0.3">
      <c r="B2881" s="187"/>
      <c r="C2881" s="186"/>
    </row>
    <row r="2882" spans="2:3" x14ac:dyDescent="0.3">
      <c r="B2882" s="187"/>
      <c r="C2882" s="186"/>
    </row>
    <row r="2883" spans="2:3" x14ac:dyDescent="0.3">
      <c r="B2883" s="187"/>
      <c r="C2883" s="186"/>
    </row>
    <row r="2884" spans="2:3" x14ac:dyDescent="0.3">
      <c r="B2884" s="187"/>
      <c r="C2884" s="186"/>
    </row>
    <row r="2885" spans="2:3" x14ac:dyDescent="0.3">
      <c r="B2885" s="187"/>
      <c r="C2885" s="186"/>
    </row>
    <row r="2886" spans="2:3" x14ac:dyDescent="0.3">
      <c r="B2886" s="187"/>
      <c r="C2886" s="186"/>
    </row>
    <row r="2887" spans="2:3" x14ac:dyDescent="0.3">
      <c r="B2887" s="187"/>
      <c r="C2887" s="186"/>
    </row>
    <row r="2888" spans="2:3" x14ac:dyDescent="0.3">
      <c r="B2888" s="187"/>
      <c r="C2888" s="186"/>
    </row>
    <row r="2889" spans="2:3" x14ac:dyDescent="0.3">
      <c r="B2889" s="187"/>
      <c r="C2889" s="186"/>
    </row>
    <row r="2890" spans="2:3" x14ac:dyDescent="0.3">
      <c r="B2890" s="187"/>
      <c r="C2890" s="186"/>
    </row>
    <row r="2891" spans="2:3" x14ac:dyDescent="0.3">
      <c r="B2891" s="187"/>
      <c r="C2891" s="186"/>
    </row>
    <row r="2892" spans="2:3" x14ac:dyDescent="0.3">
      <c r="B2892" s="187"/>
      <c r="C2892" s="186"/>
    </row>
    <row r="2893" spans="2:3" x14ac:dyDescent="0.3">
      <c r="B2893" s="187"/>
      <c r="C2893" s="186"/>
    </row>
    <row r="2894" spans="2:3" x14ac:dyDescent="0.3">
      <c r="B2894" s="187"/>
      <c r="C2894" s="186"/>
    </row>
    <row r="2895" spans="2:3" x14ac:dyDescent="0.3">
      <c r="B2895" s="187"/>
      <c r="C2895" s="186"/>
    </row>
    <row r="2896" spans="2:3" x14ac:dyDescent="0.3">
      <c r="B2896" s="187"/>
      <c r="C2896" s="186"/>
    </row>
    <row r="2897" spans="2:3" x14ac:dyDescent="0.3">
      <c r="B2897" s="187"/>
      <c r="C2897" s="186"/>
    </row>
    <row r="2898" spans="2:3" x14ac:dyDescent="0.3">
      <c r="B2898" s="187"/>
      <c r="C2898" s="186"/>
    </row>
    <row r="2899" spans="2:3" x14ac:dyDescent="0.3">
      <c r="B2899" s="187"/>
      <c r="C2899" s="186"/>
    </row>
    <row r="2900" spans="2:3" x14ac:dyDescent="0.3">
      <c r="B2900" s="187"/>
      <c r="C2900" s="1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Income Statement</vt:lpstr>
      <vt:lpstr>Balance Sheet</vt:lpstr>
      <vt:lpstr>Cash Flows </vt:lpstr>
      <vt:lpstr>Ratio Analysis</vt:lpstr>
      <vt:lpstr>Revenue Built Up</vt:lpstr>
      <vt:lpstr>Cost Sheet</vt:lpstr>
      <vt:lpstr>Working Cap</vt:lpstr>
      <vt:lpstr>Dep &amp; Capex</vt:lpstr>
      <vt:lpstr>DCF </vt:lpstr>
      <vt:lpstr>Relative Valuation</vt:lpstr>
      <vt:lpstr>Equity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2026-08-03T15:42:43Z</dcterms:created>
  <dcterms:modified xsi:type="dcterms:W3CDTF">2026-09-22T12:08:41Z</dcterms:modified>
</cp:coreProperties>
</file>